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OneDrive\Desktop\financial modeling\data\"/>
    </mc:Choice>
  </mc:AlternateContent>
  <xr:revisionPtr revIDLastSave="0" documentId="13_ncr:1_{A5311986-E855-45C3-8C6F-038A3F9EF251}" xr6:coauthVersionLast="47" xr6:coauthVersionMax="47" xr10:uidLastSave="{00000000-0000-0000-0000-000000000000}"/>
  <bookViews>
    <workbookView xWindow="-108" yWindow="-108" windowWidth="23256" windowHeight="12456" xr2:uid="{D9975930-719A-4519-A979-B76C82951657}"/>
  </bookViews>
  <sheets>
    <sheet name="FY2025_financ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71" i="1"/>
</calcChain>
</file>

<file path=xl/sharedStrings.xml><?xml version="1.0" encoding="utf-8"?>
<sst xmlns="http://schemas.openxmlformats.org/spreadsheetml/2006/main" count="338" uniqueCount="120">
  <si>
    <t>Statement</t>
  </si>
  <si>
    <t>Line_Item</t>
  </si>
  <si>
    <t>Note_No</t>
  </si>
  <si>
    <t>Fiscal_Year</t>
  </si>
  <si>
    <t>Current_Year_Value</t>
  </si>
  <si>
    <t>Prior_Year_Value</t>
  </si>
  <si>
    <t>Balance_Sheet</t>
  </si>
  <si>
    <t>ASSETS</t>
  </si>
  <si>
    <t>FY2025</t>
  </si>
  <si>
    <t>(1) Financial As sets</t>
  </si>
  <si>
    <t>(a) Cash and Cas h Equivalents</t>
  </si>
  <si>
    <t>(b) Bank Balance other than (a) a bove</t>
  </si>
  <si>
    <t>(c) Receivables</t>
  </si>
  <si>
    <t>(d) Investments</t>
  </si>
  <si>
    <t>(e) Other Financi al Assets</t>
  </si>
  <si>
    <t>(2) Non-Financi al Assets</t>
  </si>
  <si>
    <t>(a) Current Tax A ssets (Net)</t>
  </si>
  <si>
    <t>(b) Deferred Tax Assets (Net)</t>
  </si>
  <si>
    <t>(c) Property, Pla nt and Equipmen t</t>
  </si>
  <si>
    <t>(d) Right-of-use Assets</t>
  </si>
  <si>
    <t>(e) Intangible As sets</t>
  </si>
  <si>
    <t>11(a)</t>
  </si>
  <si>
    <t>(f) Intangible As sets Under Deve lopment</t>
  </si>
  <si>
    <t>11(b)</t>
  </si>
  <si>
    <t>(g) Other Non-Fi nancial Assets</t>
  </si>
  <si>
    <t>(3) Non-Current Asset Held For S ale</t>
  </si>
  <si>
    <t>TOTAL ASSETS</t>
  </si>
  <si>
    <t>LIABILITIES AND EQUITY</t>
  </si>
  <si>
    <t>LIABILITIES</t>
  </si>
  <si>
    <t>(1) Financial Lia bilities</t>
  </si>
  <si>
    <t>(a) Trade Payabl es</t>
  </si>
  <si>
    <t>(i) Total out standing dues of micro enterprises and small enterprises</t>
  </si>
  <si>
    <t>(ii) Total out standing dues of creditors other tha n micro enterprises and sma ll enterprises</t>
  </si>
  <si>
    <t>(b) Borrowings ( Other than Debt Securities)</t>
  </si>
  <si>
    <t>(c) Subordinated Liabilities</t>
  </si>
  <si>
    <t>(d) Lease Liabilit ies</t>
  </si>
  <si>
    <t>(e) Other Financi al Liabilities</t>
  </si>
  <si>
    <t>(2) Non-Financi al Liabilities</t>
  </si>
  <si>
    <t>(a) Provisions</t>
  </si>
  <si>
    <t>(b) Deferred Tax Liabilities (Net)</t>
  </si>
  <si>
    <t>(c) Other Non-Fi nancial Liabilities</t>
  </si>
  <si>
    <t>(3) Equity</t>
  </si>
  <si>
    <t>(a) Equity Share Capital</t>
  </si>
  <si>
    <t>(b) Other Equity</t>
  </si>
  <si>
    <t>TOTAL LIABI LITIES AND EQU ITY</t>
  </si>
  <si>
    <t>Profit_and_Loss</t>
  </si>
  <si>
    <t>Reve nue from Operations</t>
  </si>
  <si>
    <t>(i) Interest Income</t>
  </si>
  <si>
    <t>(ii) Rental Income</t>
  </si>
  <si>
    <t>(iii) Fees and Commissio n Income</t>
  </si>
  <si>
    <t>(iv) Profit on Investment in Scheme of Mutual Fund</t>
  </si>
  <si>
    <t>(v) Net gain on fair value changes</t>
  </si>
  <si>
    <t>(I) Total Revenue from Operations</t>
  </si>
  <si>
    <t>(II) Other Income</t>
  </si>
  <si>
    <t>(III) Total Income (I+II)</t>
  </si>
  <si>
    <t>Expenses</t>
  </si>
  <si>
    <t>(i) Finance Costs</t>
  </si>
  <si>
    <t>(ii) Fees and Commissio n Expense</t>
  </si>
  <si>
    <t>(iii) Bad Debt / Impairme nt on Financia l Instruments (Net)</t>
  </si>
  <si>
    <t>(iv) Employee Benefits Ex penses</t>
  </si>
  <si>
    <t>(v) Depreciation, Amorti sation and Im pairment Expe nse</t>
  </si>
  <si>
    <t>10,11</t>
  </si>
  <si>
    <t>(vi) Administrative and O ther Expenses</t>
  </si>
  <si>
    <t>(IV) Total Expenses (IV)</t>
  </si>
  <si>
    <t>(V) Profit / (Loss) Before Exceptional items and Tax (III-IV)</t>
  </si>
  <si>
    <t>(VI) Exceptional items</t>
  </si>
  <si>
    <t>(VII) Profit / (Loss) Before Tax (V-VI)</t>
  </si>
  <si>
    <t>(VIII) Tax:</t>
  </si>
  <si>
    <t>(a) Current Tax</t>
  </si>
  <si>
    <t>(b) Income Tax in r espect of earli er year</t>
  </si>
  <si>
    <t>(c) Deferred Tax</t>
  </si>
  <si>
    <t>(IX) Profit / (Loss) after T ax (VII-VIII)</t>
  </si>
  <si>
    <t>(X) Other Comprehensiv e Income / (E xpense)</t>
  </si>
  <si>
    <t>(i) Items that will not be reclassifie d to Profit or L oss</t>
  </si>
  <si>
    <t>(a) Remeasurement Gains / (Losse s) on Defined Benefit Plan</t>
  </si>
  <si>
    <t>(b) Gains / (Losses) on Equity Inst ruments throu gh Other Comprehensive In come</t>
  </si>
  <si>
    <t>(ii) Tax related to abo ve</t>
  </si>
  <si>
    <t>Total Other Compreh ensive Incom e / (Expense) (X)</t>
  </si>
  <si>
    <t>(XI) Total Comprehensiv e Income / (E xpense) (IX+X)</t>
  </si>
  <si>
    <t>(XII) Earnings per Equity Share (Face v alue of ` 1/- e ach)(Previous year ` 10/- each)</t>
  </si>
  <si>
    <t>Cash_Flow</t>
  </si>
  <si>
    <t>A. Cash Flows from Op erating Activit ies</t>
  </si>
  <si>
    <t>Profit / (Loss) Before Tax</t>
  </si>
  <si>
    <t>Adjustments for :</t>
  </si>
  <si>
    <t>Liabilities No Longer Required writt en back</t>
  </si>
  <si>
    <t>Finance Cost</t>
  </si>
  <si>
    <t>Finance Income</t>
  </si>
  <si>
    <t>Impairment on Finan cial Instrumen ts (Net)</t>
  </si>
  <si>
    <t>Profit on Investment in Scheme of Mutual Fund</t>
  </si>
  <si>
    <t>Net gain on fair value changes</t>
  </si>
  <si>
    <t>Claim For Business R ationalisation Cost</t>
  </si>
  <si>
    <t>Depreciation, Amorti sation and Imp airment</t>
  </si>
  <si>
    <t>Operating profit / (lo ss) before wo rking capital changes</t>
  </si>
  <si>
    <t>Changes in Working Capital</t>
  </si>
  <si>
    <t>(Increase) / Decrease in Trade Rece ivables and O thers Assets</t>
  </si>
  <si>
    <t>Increase / (Decrease) in Trade Paya bles and Oth ers Liabilities</t>
  </si>
  <si>
    <t>Increase/ (Decrease) in Other Bank Balances</t>
  </si>
  <si>
    <t>Cash generated / (us ed) in operati ons</t>
  </si>
  <si>
    <t>Direct Taxes Refund / (Paid)</t>
  </si>
  <si>
    <t>Net Cash (used in) / generated fro m Operating Activities</t>
  </si>
  <si>
    <t>B. Cash Flows from Inv esting Activiti es]</t>
  </si>
  <si>
    <t>Purchase of Property , Plant and Eq uipment, and Intangible Assets</t>
  </si>
  <si>
    <t>Intangible Assets Un der Developme nt</t>
  </si>
  <si>
    <t>Profit on Sale of Righ t Entitlement</t>
  </si>
  <si>
    <t>(Increase) / Decrease in Investmen ts (Other than Subsidiaries)</t>
  </si>
  <si>
    <t>Net Cash (used in) / generated fro m Investing Activities</t>
  </si>
  <si>
    <t>C. Cash Flows from Fin ancing Activit ies</t>
  </si>
  <si>
    <t>Increase / (Decrease) in Equity Sha re Capital</t>
  </si>
  <si>
    <t>Repayment of Lease</t>
  </si>
  <si>
    <t>Finance Cost on Leas e</t>
  </si>
  <si>
    <t>Net Cash (used in) / generated fro m Financing Activities</t>
  </si>
  <si>
    <t>Net Increase / (Decr ease) in Cash and Cash Eq uivalents</t>
  </si>
  <si>
    <t>Cas h and Cash Equivale nts at the beg inning of the year</t>
  </si>
  <si>
    <t>Cas h and Cash Equivale nts at the end of the year</t>
  </si>
  <si>
    <t>Cas h and Cash Equivale nts at the end of the year c omprises of:</t>
  </si>
  <si>
    <t>P articulars</t>
  </si>
  <si>
    <t>Note
No. Ma</t>
  </si>
  <si>
    <t>(a) Cash on hand</t>
  </si>
  <si>
    <t>(b) Balances with Banks - in Current A ccount</t>
  </si>
  <si>
    <t>(c) Fixed Deposits with o riginal maturit y period less than three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</si>
</sst>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A4F450-AD21-4CF3-B9F8-08BD4C231885}" name="Table1" displayName="Table1" ref="A1:F111" totalsRowShown="0">
  <autoFilter ref="A1:F111" xr:uid="{75A4F450-AD21-4CF3-B9F8-08BD4C231885}"/>
  <tableColumns count="6">
    <tableColumn id="1" xr3:uid="{858F2BB5-2634-4CC8-AD40-5D4B3901AA4E}" name="Statement"/>
    <tableColumn id="2" xr3:uid="{37AA6B8F-77D9-4CB3-B930-7484703BF3BB}" name="Line_Item"/>
    <tableColumn id="3" xr3:uid="{66123B76-6460-44B7-B8CE-9E04BB457E83}" name="Note_No"/>
    <tableColumn id="4" xr3:uid="{67A7D82D-66AE-4D1A-8F2C-A7DB1F016736}" name="Fiscal_Year"/>
    <tableColumn id="5" xr3:uid="{F60BD211-8707-4596-8B1A-1EA4407BF1C5}" name="Current_Year_Value"/>
    <tableColumn id="6" xr3:uid="{FAD7B670-8C5E-4EAB-A64C-52BE89115FB0}" name="Prior_Yea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257F-4B15-43DB-9660-D3FA6ED41EF5}">
  <dimension ref="A1:F111"/>
  <sheetViews>
    <sheetView tabSelected="1" workbookViewId="0">
      <selection activeCell="G6" sqref="G6"/>
    </sheetView>
  </sheetViews>
  <sheetFormatPr defaultRowHeight="14.4" x14ac:dyDescent="0.3"/>
  <cols>
    <col min="1" max="1" width="14.21875" bestFit="1" customWidth="1"/>
    <col min="2" max="2" width="76" bestFit="1" customWidth="1"/>
    <col min="3" max="3" width="10.77734375" bestFit="1" customWidth="1"/>
    <col min="4" max="4" width="12" customWidth="1"/>
    <col min="5" max="5" width="20.21875" bestFit="1" customWidth="1"/>
    <col min="6" max="6" width="17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D2" t="s">
        <v>8</v>
      </c>
    </row>
    <row r="3" spans="1:6" x14ac:dyDescent="0.3">
      <c r="A3" t="s">
        <v>6</v>
      </c>
      <c r="B3" t="s">
        <v>9</v>
      </c>
      <c r="D3" t="s">
        <v>8</v>
      </c>
    </row>
    <row r="4" spans="1:6" x14ac:dyDescent="0.3">
      <c r="A4" t="s">
        <v>6</v>
      </c>
      <c r="B4" t="s">
        <v>10</v>
      </c>
      <c r="C4">
        <v>2</v>
      </c>
      <c r="D4" t="s">
        <v>8</v>
      </c>
      <c r="E4">
        <v>20184</v>
      </c>
      <c r="F4">
        <v>33028</v>
      </c>
    </row>
    <row r="5" spans="1:6" x14ac:dyDescent="0.3">
      <c r="A5" t="s">
        <v>6</v>
      </c>
      <c r="B5" t="s">
        <v>11</v>
      </c>
      <c r="C5">
        <v>3</v>
      </c>
      <c r="D5" t="s">
        <v>8</v>
      </c>
      <c r="E5">
        <v>94</v>
      </c>
      <c r="F5">
        <v>90</v>
      </c>
    </row>
    <row r="6" spans="1:6" x14ac:dyDescent="0.3">
      <c r="A6" t="s">
        <v>6</v>
      </c>
      <c r="B6" t="s">
        <v>12</v>
      </c>
      <c r="D6" t="s">
        <v>8</v>
      </c>
    </row>
    <row r="7" spans="1:6" x14ac:dyDescent="0.3">
      <c r="A7" t="s">
        <v>6</v>
      </c>
      <c r="B7" t="e">
        <f>- Trade Recei vables</f>
        <v>#NAME?</v>
      </c>
      <c r="C7">
        <v>4</v>
      </c>
      <c r="D7" t="s">
        <v>8</v>
      </c>
      <c r="E7">
        <v>235</v>
      </c>
      <c r="F7">
        <v>649</v>
      </c>
    </row>
    <row r="8" spans="1:6" x14ac:dyDescent="0.3">
      <c r="A8" t="s">
        <v>6</v>
      </c>
      <c r="B8" t="s">
        <v>13</v>
      </c>
      <c r="C8">
        <v>5</v>
      </c>
      <c r="D8" t="s">
        <v>8</v>
      </c>
      <c r="E8">
        <v>46714</v>
      </c>
      <c r="F8">
        <v>33918</v>
      </c>
    </row>
    <row r="9" spans="1:6" x14ac:dyDescent="0.3">
      <c r="A9" t="s">
        <v>6</v>
      </c>
      <c r="B9" t="s">
        <v>14</v>
      </c>
      <c r="C9">
        <v>6</v>
      </c>
      <c r="D9" t="s">
        <v>8</v>
      </c>
      <c r="E9">
        <v>22594</v>
      </c>
      <c r="F9">
        <v>20153</v>
      </c>
    </row>
    <row r="10" spans="1:6" x14ac:dyDescent="0.3">
      <c r="A10" t="s">
        <v>6</v>
      </c>
      <c r="B10" t="s">
        <v>15</v>
      </c>
      <c r="D10" t="s">
        <v>8</v>
      </c>
    </row>
    <row r="11" spans="1:6" x14ac:dyDescent="0.3">
      <c r="A11" t="s">
        <v>6</v>
      </c>
      <c r="B11" t="s">
        <v>16</v>
      </c>
      <c r="C11">
        <v>8</v>
      </c>
      <c r="D11" t="s">
        <v>8</v>
      </c>
      <c r="E11">
        <v>5611</v>
      </c>
      <c r="F11">
        <v>5379</v>
      </c>
    </row>
    <row r="12" spans="1:6" x14ac:dyDescent="0.3">
      <c r="A12" t="s">
        <v>6</v>
      </c>
      <c r="B12" t="s">
        <v>17</v>
      </c>
      <c r="C12">
        <v>9</v>
      </c>
      <c r="D12" t="s">
        <v>8</v>
      </c>
    </row>
    <row r="13" spans="1:6" x14ac:dyDescent="0.3">
      <c r="A13" t="s">
        <v>6</v>
      </c>
      <c r="B13" t="s">
        <v>18</v>
      </c>
      <c r="C13">
        <v>10</v>
      </c>
      <c r="D13" t="s">
        <v>8</v>
      </c>
      <c r="E13">
        <v>7454</v>
      </c>
      <c r="F13">
        <v>8957</v>
      </c>
    </row>
    <row r="14" spans="1:6" x14ac:dyDescent="0.3">
      <c r="A14" t="s">
        <v>6</v>
      </c>
      <c r="B14" t="s">
        <v>19</v>
      </c>
      <c r="C14">
        <v>46</v>
      </c>
      <c r="D14" t="s">
        <v>8</v>
      </c>
      <c r="E14">
        <v>344</v>
      </c>
      <c r="F14">
        <v>1</v>
      </c>
    </row>
    <row r="15" spans="1:6" x14ac:dyDescent="0.3">
      <c r="A15" t="s">
        <v>6</v>
      </c>
      <c r="B15" t="s">
        <v>20</v>
      </c>
      <c r="C15" t="s">
        <v>21</v>
      </c>
      <c r="D15" t="s">
        <v>8</v>
      </c>
      <c r="F15">
        <v>1</v>
      </c>
    </row>
    <row r="16" spans="1:6" x14ac:dyDescent="0.3">
      <c r="A16" t="s">
        <v>6</v>
      </c>
      <c r="B16" t="s">
        <v>22</v>
      </c>
      <c r="C16" t="s">
        <v>23</v>
      </c>
      <c r="D16" t="s">
        <v>8</v>
      </c>
      <c r="E16">
        <v>632</v>
      </c>
    </row>
    <row r="17" spans="1:6" x14ac:dyDescent="0.3">
      <c r="A17" t="s">
        <v>6</v>
      </c>
      <c r="B17" t="s">
        <v>24</v>
      </c>
      <c r="C17">
        <v>7</v>
      </c>
      <c r="D17" t="s">
        <v>8</v>
      </c>
      <c r="E17">
        <v>339</v>
      </c>
      <c r="F17">
        <v>136</v>
      </c>
    </row>
    <row r="18" spans="1:6" x14ac:dyDescent="0.3">
      <c r="A18" t="s">
        <v>6</v>
      </c>
      <c r="B18" t="s">
        <v>25</v>
      </c>
      <c r="C18">
        <v>12</v>
      </c>
      <c r="D18" t="s">
        <v>8</v>
      </c>
      <c r="E18">
        <v>1424</v>
      </c>
    </row>
    <row r="19" spans="1:6" x14ac:dyDescent="0.3">
      <c r="A19" t="s">
        <v>6</v>
      </c>
      <c r="B19" t="s">
        <v>26</v>
      </c>
      <c r="D19" t="s">
        <v>8</v>
      </c>
      <c r="E19">
        <v>105625</v>
      </c>
      <c r="F19">
        <v>102312</v>
      </c>
    </row>
    <row r="20" spans="1:6" x14ac:dyDescent="0.3">
      <c r="A20" t="s">
        <v>6</v>
      </c>
      <c r="B20" t="s">
        <v>27</v>
      </c>
      <c r="D20" t="s">
        <v>8</v>
      </c>
    </row>
    <row r="21" spans="1:6" x14ac:dyDescent="0.3">
      <c r="A21" t="s">
        <v>6</v>
      </c>
      <c r="B21" t="s">
        <v>28</v>
      </c>
      <c r="D21" t="s">
        <v>8</v>
      </c>
    </row>
    <row r="22" spans="1:6" x14ac:dyDescent="0.3">
      <c r="A22" t="s">
        <v>6</v>
      </c>
      <c r="B22" t="s">
        <v>29</v>
      </c>
      <c r="D22" t="s">
        <v>8</v>
      </c>
    </row>
    <row r="23" spans="1:6" x14ac:dyDescent="0.3">
      <c r="A23" t="s">
        <v>6</v>
      </c>
      <c r="B23" t="s">
        <v>30</v>
      </c>
      <c r="C23">
        <v>13</v>
      </c>
      <c r="D23" t="s">
        <v>8</v>
      </c>
    </row>
    <row r="24" spans="1:6" x14ac:dyDescent="0.3">
      <c r="A24" t="s">
        <v>6</v>
      </c>
      <c r="B24" t="s">
        <v>31</v>
      </c>
      <c r="D24" t="s">
        <v>8</v>
      </c>
      <c r="F24">
        <v>6</v>
      </c>
    </row>
    <row r="25" spans="1:6" x14ac:dyDescent="0.3">
      <c r="A25" t="s">
        <v>6</v>
      </c>
      <c r="B25" t="s">
        <v>32</v>
      </c>
      <c r="D25" t="s">
        <v>8</v>
      </c>
      <c r="E25">
        <v>168</v>
      </c>
      <c r="F25">
        <v>140</v>
      </c>
    </row>
    <row r="26" spans="1:6" x14ac:dyDescent="0.3">
      <c r="A26" t="s">
        <v>6</v>
      </c>
      <c r="B26" t="s">
        <v>33</v>
      </c>
      <c r="C26">
        <v>14</v>
      </c>
      <c r="D26" t="s">
        <v>8</v>
      </c>
    </row>
    <row r="27" spans="1:6" x14ac:dyDescent="0.3">
      <c r="A27" t="s">
        <v>6</v>
      </c>
      <c r="B27" t="s">
        <v>34</v>
      </c>
      <c r="C27">
        <v>15</v>
      </c>
      <c r="D27" t="s">
        <v>8</v>
      </c>
    </row>
    <row r="28" spans="1:6" x14ac:dyDescent="0.3">
      <c r="A28" t="s">
        <v>6</v>
      </c>
      <c r="B28" t="s">
        <v>35</v>
      </c>
      <c r="C28">
        <v>46</v>
      </c>
      <c r="D28" t="s">
        <v>8</v>
      </c>
      <c r="E28">
        <v>331</v>
      </c>
      <c r="F28">
        <v>1</v>
      </c>
    </row>
    <row r="29" spans="1:6" x14ac:dyDescent="0.3">
      <c r="A29" t="s">
        <v>6</v>
      </c>
      <c r="B29" t="s">
        <v>36</v>
      </c>
      <c r="C29">
        <v>16</v>
      </c>
      <c r="D29" t="s">
        <v>8</v>
      </c>
      <c r="E29">
        <v>415</v>
      </c>
      <c r="F29">
        <v>268</v>
      </c>
    </row>
    <row r="30" spans="1:6" x14ac:dyDescent="0.3">
      <c r="A30" t="s">
        <v>6</v>
      </c>
      <c r="B30" t="s">
        <v>37</v>
      </c>
      <c r="D30" t="s">
        <v>8</v>
      </c>
    </row>
    <row r="31" spans="1:6" x14ac:dyDescent="0.3">
      <c r="A31" t="s">
        <v>6</v>
      </c>
      <c r="B31" t="s">
        <v>38</v>
      </c>
      <c r="C31">
        <v>17</v>
      </c>
      <c r="D31" t="s">
        <v>8</v>
      </c>
      <c r="E31">
        <v>89</v>
      </c>
      <c r="F31">
        <v>6</v>
      </c>
    </row>
    <row r="32" spans="1:6" x14ac:dyDescent="0.3">
      <c r="A32" t="s">
        <v>6</v>
      </c>
      <c r="B32" t="s">
        <v>39</v>
      </c>
      <c r="C32">
        <v>9</v>
      </c>
      <c r="D32" t="s">
        <v>8</v>
      </c>
    </row>
    <row r="33" spans="1:6" x14ac:dyDescent="0.3">
      <c r="A33" t="s">
        <v>6</v>
      </c>
      <c r="B33" t="s">
        <v>40</v>
      </c>
      <c r="C33">
        <v>18</v>
      </c>
      <c r="D33" t="s">
        <v>8</v>
      </c>
      <c r="E33">
        <v>125</v>
      </c>
      <c r="F33">
        <v>67</v>
      </c>
    </row>
    <row r="34" spans="1:6" x14ac:dyDescent="0.3">
      <c r="A34" t="s">
        <v>6</v>
      </c>
      <c r="B34" t="s">
        <v>41</v>
      </c>
      <c r="D34" t="s">
        <v>8</v>
      </c>
    </row>
    <row r="35" spans="1:6" x14ac:dyDescent="0.3">
      <c r="A35" t="s">
        <v>6</v>
      </c>
      <c r="B35" t="s">
        <v>42</v>
      </c>
      <c r="C35">
        <v>19</v>
      </c>
      <c r="D35" t="s">
        <v>8</v>
      </c>
      <c r="E35">
        <v>100</v>
      </c>
      <c r="F35">
        <v>100</v>
      </c>
    </row>
    <row r="36" spans="1:6" x14ac:dyDescent="0.3">
      <c r="A36" t="s">
        <v>6</v>
      </c>
      <c r="B36" t="s">
        <v>43</v>
      </c>
      <c r="C36">
        <v>20</v>
      </c>
      <c r="D36" t="s">
        <v>8</v>
      </c>
      <c r="E36">
        <v>104397</v>
      </c>
      <c r="F36">
        <v>101724</v>
      </c>
    </row>
    <row r="37" spans="1:6" x14ac:dyDescent="0.3">
      <c r="A37" t="s">
        <v>6</v>
      </c>
      <c r="B37" t="s">
        <v>44</v>
      </c>
      <c r="D37" t="s">
        <v>8</v>
      </c>
      <c r="E37">
        <v>105625</v>
      </c>
      <c r="F37">
        <v>102312</v>
      </c>
    </row>
    <row r="38" spans="1:6" x14ac:dyDescent="0.3">
      <c r="A38" t="s">
        <v>45</v>
      </c>
      <c r="B38" t="s">
        <v>46</v>
      </c>
      <c r="D38" t="s">
        <v>8</v>
      </c>
    </row>
    <row r="39" spans="1:6" x14ac:dyDescent="0.3">
      <c r="A39" t="s">
        <v>45</v>
      </c>
      <c r="B39" t="s">
        <v>47</v>
      </c>
      <c r="C39">
        <v>21</v>
      </c>
      <c r="D39" t="s">
        <v>8</v>
      </c>
      <c r="E39">
        <v>1535</v>
      </c>
      <c r="F39">
        <v>220</v>
      </c>
    </row>
    <row r="40" spans="1:6" x14ac:dyDescent="0.3">
      <c r="A40" t="s">
        <v>45</v>
      </c>
      <c r="B40" t="s">
        <v>48</v>
      </c>
      <c r="D40" t="s">
        <v>8</v>
      </c>
      <c r="E40">
        <v>151</v>
      </c>
      <c r="F40">
        <v>355</v>
      </c>
    </row>
    <row r="41" spans="1:6" x14ac:dyDescent="0.3">
      <c r="A41" t="s">
        <v>45</v>
      </c>
      <c r="B41" t="s">
        <v>49</v>
      </c>
      <c r="D41" t="s">
        <v>8</v>
      </c>
      <c r="E41">
        <v>315</v>
      </c>
      <c r="F41">
        <v>769</v>
      </c>
    </row>
    <row r="42" spans="1:6" x14ac:dyDescent="0.3">
      <c r="A42" t="s">
        <v>45</v>
      </c>
      <c r="B42" t="s">
        <v>50</v>
      </c>
      <c r="C42">
        <v>22</v>
      </c>
      <c r="D42" t="s">
        <v>8</v>
      </c>
      <c r="E42">
        <v>58</v>
      </c>
    </row>
    <row r="43" spans="1:6" x14ac:dyDescent="0.3">
      <c r="A43" t="s">
        <v>45</v>
      </c>
      <c r="B43" t="s">
        <v>51</v>
      </c>
      <c r="C43">
        <v>22</v>
      </c>
      <c r="D43" t="s">
        <v>8</v>
      </c>
      <c r="E43">
        <v>992</v>
      </c>
    </row>
    <row r="44" spans="1:6" x14ac:dyDescent="0.3">
      <c r="A44" t="s">
        <v>45</v>
      </c>
      <c r="B44" t="s">
        <v>52</v>
      </c>
      <c r="D44" t="s">
        <v>8</v>
      </c>
      <c r="E44">
        <v>3051</v>
      </c>
      <c r="F44">
        <v>1344</v>
      </c>
    </row>
    <row r="45" spans="1:6" x14ac:dyDescent="0.3">
      <c r="A45" t="s">
        <v>45</v>
      </c>
      <c r="B45" t="s">
        <v>53</v>
      </c>
      <c r="C45">
        <v>23</v>
      </c>
      <c r="D45" t="s">
        <v>8</v>
      </c>
      <c r="E45">
        <v>275</v>
      </c>
      <c r="F45">
        <v>3</v>
      </c>
    </row>
    <row r="46" spans="1:6" x14ac:dyDescent="0.3">
      <c r="A46" t="s">
        <v>45</v>
      </c>
      <c r="B46" t="s">
        <v>54</v>
      </c>
      <c r="D46" t="s">
        <v>8</v>
      </c>
      <c r="E46">
        <v>3325</v>
      </c>
      <c r="F46">
        <v>1347</v>
      </c>
    </row>
    <row r="47" spans="1:6" x14ac:dyDescent="0.3">
      <c r="A47" t="s">
        <v>45</v>
      </c>
      <c r="B47" t="s">
        <v>55</v>
      </c>
      <c r="D47" t="s">
        <v>8</v>
      </c>
    </row>
    <row r="48" spans="1:6" x14ac:dyDescent="0.3">
      <c r="A48" t="s">
        <v>45</v>
      </c>
      <c r="B48" t="s">
        <v>56</v>
      </c>
      <c r="C48">
        <v>24</v>
      </c>
      <c r="D48" t="s">
        <v>8</v>
      </c>
      <c r="E48">
        <v>15</v>
      </c>
      <c r="F48">
        <v>3</v>
      </c>
    </row>
    <row r="49" spans="1:6" x14ac:dyDescent="0.3">
      <c r="A49" t="s">
        <v>45</v>
      </c>
      <c r="B49" t="s">
        <v>57</v>
      </c>
      <c r="D49" t="s">
        <v>8</v>
      </c>
      <c r="E49">
        <v>267</v>
      </c>
      <c r="F49">
        <v>425</v>
      </c>
    </row>
    <row r="50" spans="1:6" x14ac:dyDescent="0.3">
      <c r="A50" t="s">
        <v>45</v>
      </c>
      <c r="B50" t="s">
        <v>58</v>
      </c>
      <c r="C50">
        <v>25</v>
      </c>
      <c r="D50" t="s">
        <v>8</v>
      </c>
      <c r="E50">
        <v>-224</v>
      </c>
      <c r="F50">
        <v>1355</v>
      </c>
    </row>
    <row r="51" spans="1:6" x14ac:dyDescent="0.3">
      <c r="A51" t="s">
        <v>45</v>
      </c>
      <c r="B51" t="s">
        <v>59</v>
      </c>
      <c r="C51">
        <v>26</v>
      </c>
      <c r="D51" t="s">
        <v>8</v>
      </c>
      <c r="E51">
        <v>1748</v>
      </c>
      <c r="F51">
        <v>226</v>
      </c>
    </row>
    <row r="52" spans="1:6" x14ac:dyDescent="0.3">
      <c r="A52" t="s">
        <v>45</v>
      </c>
      <c r="B52" t="s">
        <v>60</v>
      </c>
      <c r="C52" t="s">
        <v>61</v>
      </c>
      <c r="D52" t="s">
        <v>8</v>
      </c>
      <c r="E52">
        <v>271</v>
      </c>
      <c r="F52">
        <v>234</v>
      </c>
    </row>
    <row r="53" spans="1:6" x14ac:dyDescent="0.3">
      <c r="A53" t="s">
        <v>45</v>
      </c>
      <c r="B53" t="s">
        <v>62</v>
      </c>
      <c r="C53">
        <v>27</v>
      </c>
      <c r="D53" t="s">
        <v>8</v>
      </c>
      <c r="E53">
        <v>1212</v>
      </c>
      <c r="F53">
        <v>958</v>
      </c>
    </row>
    <row r="54" spans="1:6" x14ac:dyDescent="0.3">
      <c r="A54" t="s">
        <v>45</v>
      </c>
      <c r="B54" t="s">
        <v>63</v>
      </c>
      <c r="D54" t="s">
        <v>8</v>
      </c>
      <c r="E54">
        <v>3289</v>
      </c>
      <c r="F54">
        <v>3201</v>
      </c>
    </row>
    <row r="55" spans="1:6" x14ac:dyDescent="0.3">
      <c r="A55" t="s">
        <v>45</v>
      </c>
      <c r="B55" t="s">
        <v>64</v>
      </c>
      <c r="D55" t="s">
        <v>8</v>
      </c>
      <c r="E55">
        <v>36</v>
      </c>
      <c r="F55">
        <v>-1854</v>
      </c>
    </row>
    <row r="56" spans="1:6" x14ac:dyDescent="0.3">
      <c r="A56" t="s">
        <v>45</v>
      </c>
      <c r="B56" t="s">
        <v>65</v>
      </c>
      <c r="C56">
        <v>23.1</v>
      </c>
      <c r="D56" t="s">
        <v>8</v>
      </c>
      <c r="E56">
        <v>10000</v>
      </c>
      <c r="F56">
        <v>50000</v>
      </c>
    </row>
    <row r="57" spans="1:6" x14ac:dyDescent="0.3">
      <c r="A57" t="s">
        <v>45</v>
      </c>
      <c r="B57" t="s">
        <v>66</v>
      </c>
      <c r="D57" t="s">
        <v>8</v>
      </c>
      <c r="E57">
        <v>10036</v>
      </c>
      <c r="F57">
        <v>48146</v>
      </c>
    </row>
    <row r="58" spans="1:6" x14ac:dyDescent="0.3">
      <c r="A58" t="s">
        <v>45</v>
      </c>
      <c r="B58" t="s">
        <v>67</v>
      </c>
      <c r="D58" t="s">
        <v>8</v>
      </c>
    </row>
    <row r="59" spans="1:6" x14ac:dyDescent="0.3">
      <c r="A59" t="s">
        <v>45</v>
      </c>
      <c r="B59" t="s">
        <v>68</v>
      </c>
      <c r="D59" t="s">
        <v>8</v>
      </c>
    </row>
    <row r="60" spans="1:6" x14ac:dyDescent="0.3">
      <c r="A60" t="s">
        <v>45</v>
      </c>
      <c r="B60" t="s">
        <v>69</v>
      </c>
      <c r="D60" t="s">
        <v>8</v>
      </c>
      <c r="E60">
        <v>3</v>
      </c>
      <c r="F60">
        <v>20</v>
      </c>
    </row>
    <row r="61" spans="1:6" x14ac:dyDescent="0.3">
      <c r="A61" t="s">
        <v>45</v>
      </c>
      <c r="B61" t="s">
        <v>70</v>
      </c>
      <c r="D61" t="s">
        <v>8</v>
      </c>
    </row>
    <row r="62" spans="1:6" x14ac:dyDescent="0.3">
      <c r="A62" t="s">
        <v>45</v>
      </c>
      <c r="B62" t="s">
        <v>71</v>
      </c>
      <c r="D62" t="s">
        <v>8</v>
      </c>
      <c r="E62">
        <v>10033</v>
      </c>
      <c r="F62">
        <v>48126</v>
      </c>
    </row>
    <row r="63" spans="1:6" x14ac:dyDescent="0.3">
      <c r="A63" t="s">
        <v>45</v>
      </c>
      <c r="B63" t="s">
        <v>72</v>
      </c>
      <c r="D63" t="s">
        <v>8</v>
      </c>
    </row>
    <row r="64" spans="1:6" x14ac:dyDescent="0.3">
      <c r="A64" t="s">
        <v>45</v>
      </c>
      <c r="B64" t="s">
        <v>73</v>
      </c>
      <c r="D64" t="s">
        <v>8</v>
      </c>
    </row>
    <row r="65" spans="1:6" x14ac:dyDescent="0.3">
      <c r="A65" t="s">
        <v>45</v>
      </c>
      <c r="B65" t="s">
        <v>74</v>
      </c>
      <c r="D65" t="s">
        <v>8</v>
      </c>
      <c r="E65">
        <v>-34</v>
      </c>
      <c r="F65">
        <v>1</v>
      </c>
    </row>
    <row r="66" spans="1:6" x14ac:dyDescent="0.3">
      <c r="A66" t="s">
        <v>45</v>
      </c>
      <c r="B66" t="s">
        <v>75</v>
      </c>
      <c r="D66" t="s">
        <v>8</v>
      </c>
      <c r="E66">
        <v>-7326</v>
      </c>
      <c r="F66">
        <v>-8851</v>
      </c>
    </row>
    <row r="67" spans="1:6" x14ac:dyDescent="0.3">
      <c r="A67" t="s">
        <v>45</v>
      </c>
      <c r="B67" t="s">
        <v>76</v>
      </c>
      <c r="D67" t="s">
        <v>8</v>
      </c>
    </row>
    <row r="68" spans="1:6" x14ac:dyDescent="0.3">
      <c r="A68" t="s">
        <v>45</v>
      </c>
      <c r="B68" t="s">
        <v>77</v>
      </c>
      <c r="D68" t="s">
        <v>8</v>
      </c>
      <c r="E68">
        <v>-7360</v>
      </c>
      <c r="F68">
        <v>-8850</v>
      </c>
    </row>
    <row r="69" spans="1:6" x14ac:dyDescent="0.3">
      <c r="A69" t="s">
        <v>45</v>
      </c>
      <c r="B69" t="s">
        <v>78</v>
      </c>
      <c r="D69" t="s">
        <v>8</v>
      </c>
      <c r="E69">
        <v>2673</v>
      </c>
      <c r="F69">
        <v>39276</v>
      </c>
    </row>
    <row r="70" spans="1:6" x14ac:dyDescent="0.3">
      <c r="A70" t="s">
        <v>45</v>
      </c>
      <c r="B70" t="s">
        <v>79</v>
      </c>
      <c r="C70">
        <v>28</v>
      </c>
      <c r="D70" t="s">
        <v>8</v>
      </c>
    </row>
    <row r="71" spans="1:6" x14ac:dyDescent="0.3">
      <c r="A71" t="s">
        <v>45</v>
      </c>
      <c r="B71" t="e">
        <f>- Basic and Diluted Earnings per Equity share</f>
        <v>#NAME?</v>
      </c>
      <c r="D71" t="s">
        <v>8</v>
      </c>
      <c r="E71">
        <v>100.33</v>
      </c>
      <c r="F71">
        <v>13.35</v>
      </c>
    </row>
    <row r="72" spans="1:6" x14ac:dyDescent="0.3">
      <c r="A72" t="s">
        <v>80</v>
      </c>
      <c r="B72" t="s">
        <v>81</v>
      </c>
      <c r="D72" t="s">
        <v>8</v>
      </c>
    </row>
    <row r="73" spans="1:6" x14ac:dyDescent="0.3">
      <c r="A73" t="s">
        <v>80</v>
      </c>
      <c r="B73" t="s">
        <v>82</v>
      </c>
      <c r="D73" t="s">
        <v>8</v>
      </c>
      <c r="E73">
        <v>10036</v>
      </c>
      <c r="F73">
        <v>48146</v>
      </c>
    </row>
    <row r="74" spans="1:6" x14ac:dyDescent="0.3">
      <c r="A74" t="s">
        <v>80</v>
      </c>
      <c r="B74" t="s">
        <v>83</v>
      </c>
      <c r="D74" t="s">
        <v>8</v>
      </c>
    </row>
    <row r="75" spans="1:6" x14ac:dyDescent="0.3">
      <c r="A75" t="s">
        <v>80</v>
      </c>
      <c r="B75" t="s">
        <v>84</v>
      </c>
      <c r="D75" t="s">
        <v>8</v>
      </c>
      <c r="E75">
        <v>-1</v>
      </c>
      <c r="F75">
        <v>-2</v>
      </c>
    </row>
    <row r="76" spans="1:6" x14ac:dyDescent="0.3">
      <c r="A76" t="s">
        <v>80</v>
      </c>
      <c r="B76" t="s">
        <v>85</v>
      </c>
      <c r="D76" t="s">
        <v>8</v>
      </c>
      <c r="E76">
        <v>15</v>
      </c>
      <c r="F76">
        <v>3</v>
      </c>
    </row>
    <row r="77" spans="1:6" x14ac:dyDescent="0.3">
      <c r="A77" t="s">
        <v>80</v>
      </c>
      <c r="B77" t="s">
        <v>86</v>
      </c>
      <c r="D77" t="s">
        <v>8</v>
      </c>
      <c r="E77">
        <v>-2</v>
      </c>
    </row>
    <row r="78" spans="1:6" x14ac:dyDescent="0.3">
      <c r="A78" t="s">
        <v>80</v>
      </c>
      <c r="B78" t="s">
        <v>87</v>
      </c>
      <c r="D78" t="s">
        <v>8</v>
      </c>
      <c r="E78">
        <v>-224</v>
      </c>
      <c r="F78">
        <v>1355</v>
      </c>
    </row>
    <row r="79" spans="1:6" x14ac:dyDescent="0.3">
      <c r="A79" t="s">
        <v>80</v>
      </c>
      <c r="B79" t="s">
        <v>88</v>
      </c>
      <c r="D79" t="s">
        <v>8</v>
      </c>
      <c r="E79">
        <v>-58</v>
      </c>
    </row>
    <row r="80" spans="1:6" x14ac:dyDescent="0.3">
      <c r="A80" t="s">
        <v>80</v>
      </c>
      <c r="B80" t="s">
        <v>89</v>
      </c>
      <c r="D80" t="s">
        <v>8</v>
      </c>
      <c r="E80">
        <v>-992</v>
      </c>
    </row>
    <row r="81" spans="1:6" x14ac:dyDescent="0.3">
      <c r="A81" t="s">
        <v>80</v>
      </c>
      <c r="B81" t="s">
        <v>90</v>
      </c>
      <c r="D81" t="s">
        <v>8</v>
      </c>
      <c r="E81">
        <v>-10000</v>
      </c>
      <c r="F81">
        <v>-50000</v>
      </c>
    </row>
    <row r="82" spans="1:6" x14ac:dyDescent="0.3">
      <c r="A82" t="s">
        <v>80</v>
      </c>
      <c r="B82" t="s">
        <v>91</v>
      </c>
      <c r="D82" t="s">
        <v>8</v>
      </c>
      <c r="E82">
        <v>271</v>
      </c>
      <c r="F82">
        <v>234</v>
      </c>
    </row>
    <row r="83" spans="1:6" x14ac:dyDescent="0.3">
      <c r="A83" t="s">
        <v>80</v>
      </c>
      <c r="B83" t="s">
        <v>92</v>
      </c>
      <c r="D83" t="s">
        <v>8</v>
      </c>
      <c r="E83">
        <v>-954</v>
      </c>
      <c r="F83">
        <v>-264</v>
      </c>
    </row>
    <row r="84" spans="1:6" x14ac:dyDescent="0.3">
      <c r="A84" t="s">
        <v>80</v>
      </c>
      <c r="B84" t="s">
        <v>93</v>
      </c>
      <c r="D84" t="s">
        <v>8</v>
      </c>
    </row>
    <row r="85" spans="1:6" x14ac:dyDescent="0.3">
      <c r="A85" t="s">
        <v>80</v>
      </c>
      <c r="B85" t="s">
        <v>83</v>
      </c>
      <c r="D85" t="s">
        <v>8</v>
      </c>
    </row>
    <row r="86" spans="1:6" x14ac:dyDescent="0.3">
      <c r="A86" t="s">
        <v>80</v>
      </c>
      <c r="B86" t="s">
        <v>94</v>
      </c>
      <c r="D86" t="s">
        <v>8</v>
      </c>
      <c r="E86">
        <v>7769</v>
      </c>
      <c r="F86">
        <v>29740</v>
      </c>
    </row>
    <row r="87" spans="1:6" x14ac:dyDescent="0.3">
      <c r="A87" t="s">
        <v>80</v>
      </c>
      <c r="B87" t="s">
        <v>95</v>
      </c>
      <c r="D87" t="s">
        <v>8</v>
      </c>
      <c r="E87">
        <v>344</v>
      </c>
      <c r="F87">
        <v>-340</v>
      </c>
    </row>
    <row r="88" spans="1:6" x14ac:dyDescent="0.3">
      <c r="A88" t="s">
        <v>80</v>
      </c>
      <c r="B88" t="s">
        <v>96</v>
      </c>
      <c r="D88" t="s">
        <v>8</v>
      </c>
      <c r="E88">
        <v>4</v>
      </c>
      <c r="F88">
        <v>175</v>
      </c>
    </row>
    <row r="89" spans="1:6" x14ac:dyDescent="0.3">
      <c r="A89" t="s">
        <v>80</v>
      </c>
      <c r="B89" t="s">
        <v>97</v>
      </c>
      <c r="D89" t="s">
        <v>8</v>
      </c>
      <c r="E89">
        <v>7163</v>
      </c>
      <c r="F89">
        <v>29311</v>
      </c>
    </row>
    <row r="90" spans="1:6" x14ac:dyDescent="0.3">
      <c r="A90" t="s">
        <v>80</v>
      </c>
      <c r="B90" t="s">
        <v>98</v>
      </c>
      <c r="D90" t="s">
        <v>8</v>
      </c>
      <c r="E90">
        <v>-233</v>
      </c>
      <c r="F90">
        <v>-67</v>
      </c>
    </row>
    <row r="91" spans="1:6" x14ac:dyDescent="0.3">
      <c r="A91" t="s">
        <v>80</v>
      </c>
      <c r="B91" t="s">
        <v>99</v>
      </c>
      <c r="D91" t="s">
        <v>8</v>
      </c>
      <c r="E91">
        <v>6930</v>
      </c>
      <c r="F91">
        <v>29244</v>
      </c>
    </row>
    <row r="92" spans="1:6" x14ac:dyDescent="0.3">
      <c r="A92" t="s">
        <v>80</v>
      </c>
      <c r="B92" t="s">
        <v>100</v>
      </c>
      <c r="D92" t="s">
        <v>8</v>
      </c>
    </row>
    <row r="93" spans="1:6" x14ac:dyDescent="0.3">
      <c r="A93" t="s">
        <v>80</v>
      </c>
      <c r="B93" t="s">
        <v>101</v>
      </c>
      <c r="D93" t="s">
        <v>8</v>
      </c>
      <c r="E93">
        <v>-160</v>
      </c>
      <c r="F93">
        <v>-2</v>
      </c>
    </row>
    <row r="94" spans="1:6" x14ac:dyDescent="0.3">
      <c r="A94" t="s">
        <v>80</v>
      </c>
      <c r="B94" t="s">
        <v>102</v>
      </c>
      <c r="D94" t="s">
        <v>8</v>
      </c>
      <c r="E94">
        <v>-632</v>
      </c>
    </row>
    <row r="95" spans="1:6" x14ac:dyDescent="0.3">
      <c r="A95" t="s">
        <v>80</v>
      </c>
      <c r="B95" t="s">
        <v>103</v>
      </c>
      <c r="D95" t="s">
        <v>8</v>
      </c>
      <c r="E95">
        <v>139</v>
      </c>
    </row>
    <row r="96" spans="1:6" x14ac:dyDescent="0.3">
      <c r="A96" t="s">
        <v>80</v>
      </c>
      <c r="B96" t="s">
        <v>104</v>
      </c>
      <c r="D96" t="s">
        <v>8</v>
      </c>
      <c r="E96">
        <v>-19072</v>
      </c>
    </row>
    <row r="97" spans="1:6" x14ac:dyDescent="0.3">
      <c r="A97" t="s">
        <v>80</v>
      </c>
      <c r="B97" t="s">
        <v>105</v>
      </c>
      <c r="D97" t="s">
        <v>8</v>
      </c>
      <c r="E97">
        <v>-19725</v>
      </c>
      <c r="F97">
        <v>-2</v>
      </c>
    </row>
    <row r="98" spans="1:6" x14ac:dyDescent="0.3">
      <c r="A98" t="s">
        <v>80</v>
      </c>
      <c r="B98" t="s">
        <v>106</v>
      </c>
      <c r="D98" t="s">
        <v>8</v>
      </c>
    </row>
    <row r="99" spans="1:6" x14ac:dyDescent="0.3">
      <c r="A99" t="s">
        <v>80</v>
      </c>
      <c r="B99" t="s">
        <v>107</v>
      </c>
      <c r="D99" t="s">
        <v>8</v>
      </c>
      <c r="F99">
        <v>70</v>
      </c>
    </row>
    <row r="100" spans="1:6" x14ac:dyDescent="0.3">
      <c r="A100" t="s">
        <v>80</v>
      </c>
      <c r="B100" t="s">
        <v>108</v>
      </c>
      <c r="D100" t="s">
        <v>8</v>
      </c>
      <c r="E100">
        <v>-34</v>
      </c>
    </row>
    <row r="101" spans="1:6" x14ac:dyDescent="0.3">
      <c r="A101" t="s">
        <v>80</v>
      </c>
      <c r="B101" t="s">
        <v>109</v>
      </c>
      <c r="D101" t="s">
        <v>8</v>
      </c>
      <c r="E101">
        <v>-15</v>
      </c>
      <c r="F101">
        <v>-3</v>
      </c>
    </row>
    <row r="102" spans="1:6" x14ac:dyDescent="0.3">
      <c r="A102" t="s">
        <v>80</v>
      </c>
      <c r="B102" t="s">
        <v>110</v>
      </c>
      <c r="D102" t="s">
        <v>8</v>
      </c>
      <c r="E102">
        <v>-49</v>
      </c>
      <c r="F102">
        <v>67</v>
      </c>
    </row>
    <row r="103" spans="1:6" x14ac:dyDescent="0.3">
      <c r="A103" t="s">
        <v>80</v>
      </c>
      <c r="B103" t="s">
        <v>111</v>
      </c>
      <c r="D103" t="s">
        <v>8</v>
      </c>
      <c r="E103">
        <v>-12845</v>
      </c>
      <c r="F103">
        <v>29309</v>
      </c>
    </row>
    <row r="104" spans="1:6" x14ac:dyDescent="0.3">
      <c r="A104" t="s">
        <v>80</v>
      </c>
      <c r="B104" t="s">
        <v>112</v>
      </c>
      <c r="D104" t="s">
        <v>8</v>
      </c>
      <c r="E104">
        <v>33028</v>
      </c>
      <c r="F104">
        <v>3719</v>
      </c>
    </row>
    <row r="105" spans="1:6" x14ac:dyDescent="0.3">
      <c r="A105" t="s">
        <v>80</v>
      </c>
      <c r="B105" t="s">
        <v>113</v>
      </c>
      <c r="D105" t="s">
        <v>8</v>
      </c>
      <c r="E105">
        <v>20184</v>
      </c>
      <c r="F105">
        <v>33028</v>
      </c>
    </row>
    <row r="106" spans="1:6" x14ac:dyDescent="0.3">
      <c r="A106" t="s">
        <v>80</v>
      </c>
      <c r="B106" t="s">
        <v>114</v>
      </c>
      <c r="D106" t="s">
        <v>8</v>
      </c>
    </row>
    <row r="107" spans="1:6" ht="28.8" x14ac:dyDescent="0.3">
      <c r="A107" t="s">
        <v>80</v>
      </c>
      <c r="B107" t="s">
        <v>115</v>
      </c>
      <c r="C107" s="1" t="s">
        <v>116</v>
      </c>
      <c r="D107" t="s">
        <v>8</v>
      </c>
      <c r="F107">
        <v>31202</v>
      </c>
    </row>
    <row r="108" spans="1:6" x14ac:dyDescent="0.3">
      <c r="A108" t="s">
        <v>80</v>
      </c>
      <c r="B108" t="s">
        <v>113</v>
      </c>
      <c r="D108" t="s">
        <v>8</v>
      </c>
    </row>
    <row r="109" spans="1:6" x14ac:dyDescent="0.3">
      <c r="A109" t="s">
        <v>80</v>
      </c>
      <c r="B109" t="s">
        <v>117</v>
      </c>
      <c r="D109" t="s">
        <v>8</v>
      </c>
    </row>
    <row r="110" spans="1:6" x14ac:dyDescent="0.3">
      <c r="A110" t="s">
        <v>80</v>
      </c>
      <c r="B110" t="s">
        <v>118</v>
      </c>
      <c r="D110" t="s">
        <v>8</v>
      </c>
      <c r="E110">
        <v>161</v>
      </c>
      <c r="F110">
        <v>259</v>
      </c>
    </row>
    <row r="111" spans="1:6" x14ac:dyDescent="0.3">
      <c r="A111" t="s">
        <v>80</v>
      </c>
      <c r="B111" t="s">
        <v>119</v>
      </c>
      <c r="D111" t="s">
        <v>8</v>
      </c>
      <c r="E111">
        <v>20023</v>
      </c>
      <c r="F111">
        <v>32769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FY2025_financials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</dc:creator>
  <cp:lastModifiedBy>arjun sharma</cp:lastModifiedBy>
  <dcterms:created xsi:type="dcterms:W3CDTF">2026-07-23T10:14:36Z</dcterms:created>
  <dcterms:modified xsi:type="dcterms:W3CDTF">2026-07-23T10:17:24Z</dcterms:modified>
</cp:coreProperties>
</file>