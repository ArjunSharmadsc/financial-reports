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OneDrive\Desktop\financial modeling\data\"/>
    </mc:Choice>
  </mc:AlternateContent>
  <xr:revisionPtr revIDLastSave="0" documentId="13_ncr:1_{BA7C073F-F219-4F32-8D11-8D64E4932324}" xr6:coauthVersionLast="47" xr6:coauthVersionMax="47" xr10:uidLastSave="{00000000-0000-0000-0000-000000000000}"/>
  <bookViews>
    <workbookView xWindow="-108" yWindow="-108" windowWidth="23256" windowHeight="12456" xr2:uid="{BC70EFB3-09A2-4B01-A89F-AA1B7CCF3FD0}"/>
  </bookViews>
  <sheets>
    <sheet name="FY2023_financ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2" i="1"/>
</calcChain>
</file>

<file path=xl/sharedStrings.xml><?xml version="1.0" encoding="utf-8"?>
<sst xmlns="http://schemas.openxmlformats.org/spreadsheetml/2006/main" count="233" uniqueCount="85">
  <si>
    <t>Statement</t>
  </si>
  <si>
    <t>Line_Item</t>
  </si>
  <si>
    <t>Note_No</t>
  </si>
  <si>
    <t>Fiscal_Year</t>
  </si>
  <si>
    <t>Current_Year_Value</t>
  </si>
  <si>
    <t>Prior_Year_Value</t>
  </si>
  <si>
    <t>Balance_Sheet</t>
  </si>
  <si>
    <t>(a) Cash and Cash Equivalents</t>
  </si>
  <si>
    <t>FY2023</t>
  </si>
  <si>
    <t>(b) Bank Balance other than (a) above</t>
  </si>
  <si>
    <t>(d) Investments</t>
  </si>
  <si>
    <t>(e) Other Financial Assets</t>
  </si>
  <si>
    <t>(a) Current Tax Assets (Net)</t>
  </si>
  <si>
    <t>(b) Deferred Tax Assets (Net)</t>
  </si>
  <si>
    <t>(c) Property, Plant and Equipment</t>
  </si>
  <si>
    <t>(d) Right-of-use Assets</t>
  </si>
  <si>
    <t>(e) Intangible Assets</t>
  </si>
  <si>
    <t>(f) Other Non-Financial Assets</t>
  </si>
  <si>
    <t>TOTAL ASSETS</t>
  </si>
  <si>
    <t>(i) Total outstanding dues of micro enterprises and small enterprises</t>
  </si>
  <si>
    <t>(ii) Total outstanding dues of creditors other than micro enterprises and small enterprises</t>
  </si>
  <si>
    <t>(b) Borrowings (Other than Debt Securities)</t>
  </si>
  <si>
    <t>(c) Subordinated Liabilities</t>
  </si>
  <si>
    <t>(d) Lease Liabilities</t>
  </si>
  <si>
    <t>(e) Other Financial Liabilities</t>
  </si>
  <si>
    <t>(a) Provisions</t>
  </si>
  <si>
    <t>(b) Deferred Tax Liabilities (Net)</t>
  </si>
  <si>
    <t>(c) Other Non-Financial Liabilities</t>
  </si>
  <si>
    <t>(a) Equity Share Capital</t>
  </si>
  <si>
    <t>(b) Other Equity</t>
  </si>
  <si>
    <t>TOTAL LIABILITIES AND EQUITY</t>
  </si>
  <si>
    <t>Profit_and_Loss</t>
  </si>
  <si>
    <t>(i) Interest Income</t>
  </si>
  <si>
    <t>(ii) Dividend Income*</t>
  </si>
  <si>
    <t>(iii) Rental Income</t>
  </si>
  <si>
    <t>(iv) Fees and Commission Income</t>
  </si>
  <si>
    <t>(I) Total Revenue from Operations</t>
  </si>
  <si>
    <t>(II) Other Income</t>
  </si>
  <si>
    <t>(III) Total Income (I+II)</t>
  </si>
  <si>
    <t>(I) Finance Costs</t>
  </si>
  <si>
    <t>(ii) Fees and Commission Expense</t>
  </si>
  <si>
    <t>(iii) Impairment on Financial Instruments (Net)</t>
  </si>
  <si>
    <t>(iv) Employee Benefits Expenses</t>
  </si>
  <si>
    <t>(vi) Depreciation, Amortisation and Impairment Expense</t>
  </si>
  <si>
    <t>10,11</t>
  </si>
  <si>
    <t>(vi) Administrative and Other Expenses</t>
  </si>
  <si>
    <t>(IV) Total Expenses (IV)</t>
  </si>
  <si>
    <t>(V) Profit / (Loss) Before Exceptional items and Tax (III-IV)</t>
  </si>
  <si>
    <t>(VI) Exceptional items</t>
  </si>
  <si>
    <t>(VII) Profit / (Loss) Before Tax (V-VI)</t>
  </si>
  <si>
    <t>(a) Current Tax</t>
  </si>
  <si>
    <t>(b) Income Tax in respect of earlier year</t>
  </si>
  <si>
    <t>(c) Deferred Tax</t>
  </si>
  <si>
    <t>(IX) Profit / (Loss) after Tax (XIII-XIV)</t>
  </si>
  <si>
    <t>(a) Remeasurement Gains / (Losses) on Defined Benefit Plan</t>
  </si>
  <si>
    <t>(b) Gains / (Losses) on Equity Instruments through Other Comprehensive Income</t>
  </si>
  <si>
    <t>(ii) Tax related to above</t>
  </si>
  <si>
    <t>Total Other Comprehensive Income / (Expense) (XVI)</t>
  </si>
  <si>
    <t>(XI) Total Comprehensive Income / (Expense) (XV + XVI)</t>
  </si>
  <si>
    <t>Cash_Flow</t>
  </si>
  <si>
    <t>Profit / (Loss) Before Tax</t>
  </si>
  <si>
    <t>Interest on Income Tax Refund</t>
  </si>
  <si>
    <t>Liabilities No Longer Required written back</t>
  </si>
  <si>
    <t>Impairment on Financial Instruments (Net)</t>
  </si>
  <si>
    <t>Foreign exchange (Gain) / Loss</t>
  </si>
  <si>
    <t>Depreciation, Amortisation and Impairment</t>
  </si>
  <si>
    <t>Operating profit / (loss) before working capital changes</t>
  </si>
  <si>
    <t>(Increase) / Decrease in Trade Receivables and Others Assets</t>
  </si>
  <si>
    <t>Increase / (Decrease) in Trade Payables and Others Liabilities</t>
  </si>
  <si>
    <t>Increase / (Decrease) in Other Bank Balances</t>
  </si>
  <si>
    <t>Cash generated / (used) in operations</t>
  </si>
  <si>
    <t>Direct Taxes Refund / (Paid)</t>
  </si>
  <si>
    <t>Net Cash (used in) / generated from Operating Activities</t>
  </si>
  <si>
    <t>Purchase of Property, Plant and Equipment, and Intangible Assets</t>
  </si>
  <si>
    <t>(Increase) / Decrease in Investments (Other than Subsidiaries)</t>
  </si>
  <si>
    <t>Net Cash (used in) / generated from Investing Activities</t>
  </si>
  <si>
    <t>(Repayment of) / Proceeds from intercorporate deposit</t>
  </si>
  <si>
    <t>Dividend Paid (including Corporate Dividend Tax)</t>
  </si>
  <si>
    <t>Net Cash (used in) / generated from Financing Activities</t>
  </si>
  <si>
    <t>Net Increase / (Decrease) in Cash and Cash Equivalents</t>
  </si>
  <si>
    <t>Cash and Cash Equivalents at the beginning of the year</t>
  </si>
  <si>
    <t>Cash and Cash Equivalents at the end of the year</t>
  </si>
  <si>
    <t>(a) Cash on hand</t>
  </si>
  <si>
    <t>(b) Balances with Banks - in Current Account</t>
  </si>
  <si>
    <t>(c) Fixed Deposits with original maturity period less than three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</si>
</sst>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ECE81-3B4C-4888-94A1-AC0C80EB5CEA}" name="Table1" displayName="Table1" ref="A1:F77" totalsRowShown="0">
  <autoFilter ref="A1:F77" xr:uid="{3DEECE81-3B4C-4888-94A1-AC0C80EB5CEA}"/>
  <tableColumns count="6">
    <tableColumn id="1" xr3:uid="{F9BFA546-C909-49AC-91F6-5E9AC4B4EBE7}" name="Statement"/>
    <tableColumn id="2" xr3:uid="{43A4AE67-95F7-431F-912A-2BBD4F4DC4AC}" name="Line_Item"/>
    <tableColumn id="3" xr3:uid="{FA2DA241-6BFC-40AD-BDAF-50745696904B}" name="Note_No"/>
    <tableColumn id="4" xr3:uid="{C435E0CE-DD70-48F6-A85C-1018E2E86F2D}" name="Fiscal_Year"/>
    <tableColumn id="5" xr3:uid="{699EE034-0576-41F9-BC79-00F051D39707}" name="Current_Year_Value"/>
    <tableColumn id="6" xr3:uid="{EF6AA2D4-2BA5-4105-B28F-F9F27FABFC29}" name="Prior_Yea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E724-15F7-4EE5-9A6C-B3B41C7CFBCA}">
  <dimension ref="A1:F77"/>
  <sheetViews>
    <sheetView tabSelected="1" workbookViewId="0">
      <selection activeCell="G3" sqref="G3"/>
    </sheetView>
  </sheetViews>
  <sheetFormatPr defaultRowHeight="14.4" x14ac:dyDescent="0.3"/>
  <cols>
    <col min="1" max="1" width="14.21875" bestFit="1" customWidth="1"/>
    <col min="2" max="2" width="74.5546875" bestFit="1" customWidth="1"/>
    <col min="3" max="3" width="10.77734375" bestFit="1" customWidth="1"/>
    <col min="4" max="4" width="12.33203125" bestFit="1" customWidth="1"/>
    <col min="5" max="5" width="20.21875" bestFit="1" customWidth="1"/>
    <col min="6" max="6" width="17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</v>
      </c>
      <c r="D2" t="s">
        <v>8</v>
      </c>
      <c r="E2">
        <v>3719</v>
      </c>
      <c r="F2">
        <v>1100</v>
      </c>
    </row>
    <row r="3" spans="1:6" x14ac:dyDescent="0.3">
      <c r="A3" t="s">
        <v>6</v>
      </c>
      <c r="B3" t="s">
        <v>9</v>
      </c>
      <c r="C3">
        <v>3</v>
      </c>
      <c r="D3" t="s">
        <v>8</v>
      </c>
      <c r="E3">
        <v>265</v>
      </c>
      <c r="F3">
        <v>253</v>
      </c>
    </row>
    <row r="4" spans="1:6" x14ac:dyDescent="0.3">
      <c r="A4" t="s">
        <v>6</v>
      </c>
      <c r="B4" t="e">
        <f>- Trade Receivables</f>
        <v>#NAME?</v>
      </c>
      <c r="C4">
        <v>4</v>
      </c>
      <c r="D4" t="s">
        <v>8</v>
      </c>
      <c r="E4">
        <v>663</v>
      </c>
      <c r="F4">
        <v>1078</v>
      </c>
    </row>
    <row r="5" spans="1:6" x14ac:dyDescent="0.3">
      <c r="A5" t="s">
        <v>6</v>
      </c>
      <c r="B5" t="s">
        <v>10</v>
      </c>
      <c r="C5">
        <v>5</v>
      </c>
      <c r="D5" t="s">
        <v>8</v>
      </c>
      <c r="E5">
        <v>44048</v>
      </c>
      <c r="F5">
        <v>28446</v>
      </c>
    </row>
    <row r="6" spans="1:6" x14ac:dyDescent="0.3">
      <c r="A6" t="s">
        <v>6</v>
      </c>
      <c r="B6" t="s">
        <v>11</v>
      </c>
      <c r="C6">
        <v>6</v>
      </c>
      <c r="D6" t="s">
        <v>8</v>
      </c>
      <c r="E6">
        <v>144</v>
      </c>
      <c r="F6">
        <v>566</v>
      </c>
    </row>
    <row r="7" spans="1:6" x14ac:dyDescent="0.3">
      <c r="A7" t="s">
        <v>6</v>
      </c>
      <c r="B7" t="s">
        <v>12</v>
      </c>
      <c r="C7">
        <v>8</v>
      </c>
      <c r="D7" t="s">
        <v>8</v>
      </c>
      <c r="E7">
        <v>5332</v>
      </c>
      <c r="F7">
        <v>7960</v>
      </c>
    </row>
    <row r="8" spans="1:6" x14ac:dyDescent="0.3">
      <c r="A8" t="s">
        <v>6</v>
      </c>
      <c r="B8" t="s">
        <v>13</v>
      </c>
      <c r="C8">
        <v>9</v>
      </c>
      <c r="D8" t="s">
        <v>8</v>
      </c>
    </row>
    <row r="9" spans="1:6" x14ac:dyDescent="0.3">
      <c r="A9" t="s">
        <v>6</v>
      </c>
      <c r="B9" t="s">
        <v>14</v>
      </c>
      <c r="C9">
        <v>10</v>
      </c>
      <c r="D9" t="s">
        <v>8</v>
      </c>
      <c r="E9">
        <v>9187</v>
      </c>
      <c r="F9">
        <v>9421</v>
      </c>
    </row>
    <row r="10" spans="1:6" x14ac:dyDescent="0.3">
      <c r="A10" t="s">
        <v>6</v>
      </c>
      <c r="B10" t="s">
        <v>15</v>
      </c>
      <c r="D10" t="s">
        <v>8</v>
      </c>
      <c r="E10">
        <v>1</v>
      </c>
      <c r="F10">
        <v>1</v>
      </c>
    </row>
    <row r="11" spans="1:6" x14ac:dyDescent="0.3">
      <c r="A11" t="s">
        <v>6</v>
      </c>
      <c r="B11" t="s">
        <v>16</v>
      </c>
      <c r="C11">
        <v>11</v>
      </c>
      <c r="D11" t="s">
        <v>8</v>
      </c>
      <c r="E11">
        <v>1</v>
      </c>
      <c r="F11">
        <v>3</v>
      </c>
    </row>
    <row r="12" spans="1:6" x14ac:dyDescent="0.3">
      <c r="A12" t="s">
        <v>6</v>
      </c>
      <c r="B12" t="s">
        <v>17</v>
      </c>
      <c r="C12">
        <v>7</v>
      </c>
      <c r="D12" t="s">
        <v>8</v>
      </c>
      <c r="E12">
        <v>45</v>
      </c>
      <c r="F12">
        <v>157</v>
      </c>
    </row>
    <row r="13" spans="1:6" x14ac:dyDescent="0.3">
      <c r="A13" t="s">
        <v>6</v>
      </c>
      <c r="B13" t="s">
        <v>18</v>
      </c>
      <c r="D13" t="s">
        <v>8</v>
      </c>
      <c r="E13">
        <v>63405</v>
      </c>
      <c r="F13">
        <v>48985</v>
      </c>
    </row>
    <row r="14" spans="1:6" x14ac:dyDescent="0.3">
      <c r="A14" t="s">
        <v>6</v>
      </c>
      <c r="B14" t="s">
        <v>19</v>
      </c>
      <c r="D14" t="s">
        <v>8</v>
      </c>
      <c r="E14">
        <v>40</v>
      </c>
      <c r="F14">
        <v>35</v>
      </c>
    </row>
    <row r="15" spans="1:6" x14ac:dyDescent="0.3">
      <c r="A15" t="s">
        <v>6</v>
      </c>
      <c r="B15" t="s">
        <v>20</v>
      </c>
      <c r="D15" t="s">
        <v>8</v>
      </c>
      <c r="E15">
        <v>641</v>
      </c>
      <c r="F15">
        <v>1100</v>
      </c>
    </row>
    <row r="16" spans="1:6" x14ac:dyDescent="0.3">
      <c r="A16" t="s">
        <v>6</v>
      </c>
      <c r="B16" t="s">
        <v>21</v>
      </c>
      <c r="C16">
        <v>13</v>
      </c>
      <c r="D16" t="s">
        <v>8</v>
      </c>
      <c r="E16">
        <v>25671</v>
      </c>
      <c r="F16">
        <v>25723</v>
      </c>
    </row>
    <row r="17" spans="1:6" x14ac:dyDescent="0.3">
      <c r="A17" t="s">
        <v>6</v>
      </c>
      <c r="B17" t="s">
        <v>22</v>
      </c>
      <c r="C17">
        <v>14</v>
      </c>
      <c r="D17" t="s">
        <v>8</v>
      </c>
      <c r="E17">
        <v>33000</v>
      </c>
      <c r="F17">
        <v>33000</v>
      </c>
    </row>
    <row r="18" spans="1:6" x14ac:dyDescent="0.3">
      <c r="A18" t="s">
        <v>6</v>
      </c>
      <c r="B18" t="s">
        <v>23</v>
      </c>
      <c r="D18" t="s">
        <v>8</v>
      </c>
      <c r="E18">
        <v>2</v>
      </c>
      <c r="F18">
        <v>2</v>
      </c>
    </row>
    <row r="19" spans="1:6" x14ac:dyDescent="0.3">
      <c r="A19" t="s">
        <v>6</v>
      </c>
      <c r="B19" t="s">
        <v>24</v>
      </c>
      <c r="C19">
        <v>15</v>
      </c>
      <c r="D19" t="s">
        <v>8</v>
      </c>
      <c r="E19">
        <v>16044</v>
      </c>
      <c r="F19">
        <v>16377</v>
      </c>
    </row>
    <row r="20" spans="1:6" x14ac:dyDescent="0.3">
      <c r="A20" t="s">
        <v>6</v>
      </c>
      <c r="B20" t="s">
        <v>25</v>
      </c>
      <c r="C20">
        <v>16</v>
      </c>
      <c r="D20" t="s">
        <v>8</v>
      </c>
      <c r="E20">
        <v>6</v>
      </c>
      <c r="F20">
        <v>12</v>
      </c>
    </row>
    <row r="21" spans="1:6" x14ac:dyDescent="0.3">
      <c r="A21" t="s">
        <v>6</v>
      </c>
      <c r="B21" t="s">
        <v>26</v>
      </c>
      <c r="C21">
        <v>9</v>
      </c>
      <c r="D21" t="s">
        <v>8</v>
      </c>
    </row>
    <row r="22" spans="1:6" x14ac:dyDescent="0.3">
      <c r="A22" t="s">
        <v>6</v>
      </c>
      <c r="B22" t="s">
        <v>27</v>
      </c>
      <c r="C22">
        <v>17</v>
      </c>
      <c r="D22" t="s">
        <v>8</v>
      </c>
      <c r="E22">
        <v>68</v>
      </c>
      <c r="F22">
        <v>148</v>
      </c>
    </row>
    <row r="23" spans="1:6" x14ac:dyDescent="0.3">
      <c r="A23" t="s">
        <v>6</v>
      </c>
      <c r="B23" t="s">
        <v>28</v>
      </c>
      <c r="C23">
        <v>18</v>
      </c>
      <c r="D23" t="s">
        <v>8</v>
      </c>
      <c r="E23">
        <v>50309</v>
      </c>
      <c r="F23">
        <v>50309</v>
      </c>
    </row>
    <row r="24" spans="1:6" x14ac:dyDescent="0.3">
      <c r="A24" t="s">
        <v>6</v>
      </c>
      <c r="B24" t="s">
        <v>29</v>
      </c>
      <c r="C24">
        <v>19</v>
      </c>
      <c r="D24" t="s">
        <v>8</v>
      </c>
      <c r="E24">
        <v>-62376</v>
      </c>
      <c r="F24">
        <v>-77721</v>
      </c>
    </row>
    <row r="25" spans="1:6" x14ac:dyDescent="0.3">
      <c r="A25" t="s">
        <v>6</v>
      </c>
      <c r="B25" t="s">
        <v>30</v>
      </c>
      <c r="D25" t="s">
        <v>8</v>
      </c>
      <c r="E25">
        <v>63405</v>
      </c>
      <c r="F25">
        <v>48985</v>
      </c>
    </row>
    <row r="26" spans="1:6" x14ac:dyDescent="0.3">
      <c r="A26" t="s">
        <v>31</v>
      </c>
      <c r="B26" t="s">
        <v>32</v>
      </c>
      <c r="C26">
        <v>20</v>
      </c>
      <c r="D26" t="s">
        <v>8</v>
      </c>
      <c r="E26">
        <v>139</v>
      </c>
      <c r="F26">
        <v>14</v>
      </c>
    </row>
    <row r="27" spans="1:6" x14ac:dyDescent="0.3">
      <c r="A27" t="s">
        <v>31</v>
      </c>
      <c r="B27" t="s">
        <v>33</v>
      </c>
      <c r="D27" t="s">
        <v>8</v>
      </c>
      <c r="E27">
        <v>100</v>
      </c>
      <c r="F27">
        <v>0</v>
      </c>
    </row>
    <row r="28" spans="1:6" x14ac:dyDescent="0.3">
      <c r="A28" t="s">
        <v>31</v>
      </c>
      <c r="B28" t="s">
        <v>34</v>
      </c>
      <c r="D28" t="s">
        <v>8</v>
      </c>
      <c r="E28">
        <v>403</v>
      </c>
      <c r="F28">
        <v>396</v>
      </c>
    </row>
    <row r="29" spans="1:6" x14ac:dyDescent="0.3">
      <c r="A29" t="s">
        <v>31</v>
      </c>
      <c r="B29" t="s">
        <v>35</v>
      </c>
      <c r="D29" t="s">
        <v>8</v>
      </c>
      <c r="E29">
        <v>1290</v>
      </c>
      <c r="F29">
        <v>2361</v>
      </c>
    </row>
    <row r="30" spans="1:6" x14ac:dyDescent="0.3">
      <c r="A30" t="s">
        <v>31</v>
      </c>
      <c r="B30" t="s">
        <v>36</v>
      </c>
      <c r="D30" t="s">
        <v>8</v>
      </c>
      <c r="E30">
        <v>1932</v>
      </c>
      <c r="F30">
        <v>2771</v>
      </c>
    </row>
    <row r="31" spans="1:6" x14ac:dyDescent="0.3">
      <c r="A31" t="s">
        <v>31</v>
      </c>
      <c r="B31" t="s">
        <v>37</v>
      </c>
      <c r="C31">
        <v>21</v>
      </c>
      <c r="D31" t="s">
        <v>8</v>
      </c>
      <c r="E31">
        <v>211</v>
      </c>
      <c r="F31">
        <v>459</v>
      </c>
    </row>
    <row r="32" spans="1:6" x14ac:dyDescent="0.3">
      <c r="A32" t="s">
        <v>31</v>
      </c>
      <c r="B32" t="s">
        <v>38</v>
      </c>
      <c r="D32" t="s">
        <v>8</v>
      </c>
      <c r="E32">
        <v>2143</v>
      </c>
      <c r="F32">
        <v>3230</v>
      </c>
    </row>
    <row r="33" spans="1:6" x14ac:dyDescent="0.3">
      <c r="A33" t="s">
        <v>31</v>
      </c>
      <c r="B33" t="s">
        <v>39</v>
      </c>
      <c r="C33">
        <v>22</v>
      </c>
      <c r="D33" t="s">
        <v>8</v>
      </c>
      <c r="E33">
        <v>19</v>
      </c>
      <c r="F33">
        <v>158</v>
      </c>
    </row>
    <row r="34" spans="1:6" x14ac:dyDescent="0.3">
      <c r="A34" t="s">
        <v>31</v>
      </c>
      <c r="B34" t="s">
        <v>40</v>
      </c>
      <c r="D34" t="s">
        <v>8</v>
      </c>
      <c r="E34">
        <v>764</v>
      </c>
      <c r="F34">
        <v>1849</v>
      </c>
    </row>
    <row r="35" spans="1:6" x14ac:dyDescent="0.3">
      <c r="A35" t="s">
        <v>31</v>
      </c>
      <c r="B35" t="s">
        <v>41</v>
      </c>
      <c r="C35">
        <v>23</v>
      </c>
      <c r="D35" t="s">
        <v>8</v>
      </c>
      <c r="E35">
        <v>194</v>
      </c>
      <c r="F35">
        <v>457</v>
      </c>
    </row>
    <row r="36" spans="1:6" x14ac:dyDescent="0.3">
      <c r="A36" t="s">
        <v>31</v>
      </c>
      <c r="B36" t="s">
        <v>42</v>
      </c>
      <c r="C36">
        <v>24</v>
      </c>
      <c r="D36" t="s">
        <v>8</v>
      </c>
      <c r="E36">
        <v>276</v>
      </c>
      <c r="F36">
        <v>484</v>
      </c>
    </row>
    <row r="37" spans="1:6" x14ac:dyDescent="0.3">
      <c r="A37" t="s">
        <v>31</v>
      </c>
      <c r="B37" t="s">
        <v>43</v>
      </c>
      <c r="C37" t="s">
        <v>44</v>
      </c>
      <c r="D37" t="s">
        <v>8</v>
      </c>
      <c r="E37">
        <v>235</v>
      </c>
      <c r="F37">
        <v>613</v>
      </c>
    </row>
    <row r="38" spans="1:6" x14ac:dyDescent="0.3">
      <c r="A38" t="s">
        <v>31</v>
      </c>
      <c r="B38" t="s">
        <v>45</v>
      </c>
      <c r="C38">
        <v>25</v>
      </c>
      <c r="D38" t="s">
        <v>8</v>
      </c>
      <c r="E38">
        <v>931</v>
      </c>
      <c r="F38">
        <v>1022</v>
      </c>
    </row>
    <row r="39" spans="1:6" x14ac:dyDescent="0.3">
      <c r="A39" t="s">
        <v>31</v>
      </c>
      <c r="B39" t="s">
        <v>46</v>
      </c>
      <c r="D39" t="s">
        <v>8</v>
      </c>
      <c r="E39">
        <v>2419</v>
      </c>
      <c r="F39">
        <v>4583</v>
      </c>
    </row>
    <row r="40" spans="1:6" x14ac:dyDescent="0.3">
      <c r="A40" t="s">
        <v>31</v>
      </c>
      <c r="B40" t="s">
        <v>47</v>
      </c>
      <c r="D40" t="s">
        <v>8</v>
      </c>
      <c r="E40">
        <v>-276</v>
      </c>
      <c r="F40">
        <v>-1353</v>
      </c>
    </row>
    <row r="41" spans="1:6" x14ac:dyDescent="0.3">
      <c r="A41" t="s">
        <v>31</v>
      </c>
      <c r="B41" t="s">
        <v>48</v>
      </c>
      <c r="D41" t="s">
        <v>8</v>
      </c>
    </row>
    <row r="42" spans="1:6" x14ac:dyDescent="0.3">
      <c r="A42" t="s">
        <v>31</v>
      </c>
      <c r="B42" t="s">
        <v>49</v>
      </c>
      <c r="D42" t="s">
        <v>8</v>
      </c>
      <c r="E42">
        <v>-276</v>
      </c>
      <c r="F42">
        <v>-1353</v>
      </c>
    </row>
    <row r="43" spans="1:6" x14ac:dyDescent="0.3">
      <c r="A43" t="s">
        <v>31</v>
      </c>
      <c r="B43" t="s">
        <v>50</v>
      </c>
      <c r="D43" t="s">
        <v>8</v>
      </c>
    </row>
    <row r="44" spans="1:6" x14ac:dyDescent="0.3">
      <c r="A44" t="s">
        <v>31</v>
      </c>
      <c r="B44" t="s">
        <v>51</v>
      </c>
      <c r="D44" t="s">
        <v>8</v>
      </c>
      <c r="E44">
        <v>5</v>
      </c>
      <c r="F44">
        <v>-2926</v>
      </c>
    </row>
    <row r="45" spans="1:6" x14ac:dyDescent="0.3">
      <c r="A45" t="s">
        <v>31</v>
      </c>
      <c r="B45" t="s">
        <v>52</v>
      </c>
      <c r="D45" t="s">
        <v>8</v>
      </c>
    </row>
    <row r="46" spans="1:6" x14ac:dyDescent="0.3">
      <c r="A46" t="s">
        <v>31</v>
      </c>
      <c r="B46" t="s">
        <v>53</v>
      </c>
      <c r="D46" t="s">
        <v>8</v>
      </c>
      <c r="E46">
        <v>-281</v>
      </c>
      <c r="F46">
        <v>1573</v>
      </c>
    </row>
    <row r="47" spans="1:6" x14ac:dyDescent="0.3">
      <c r="A47" t="s">
        <v>31</v>
      </c>
      <c r="B47" t="s">
        <v>54</v>
      </c>
      <c r="D47" t="s">
        <v>8</v>
      </c>
      <c r="E47">
        <v>24</v>
      </c>
      <c r="F47">
        <v>23</v>
      </c>
    </row>
    <row r="48" spans="1:6" x14ac:dyDescent="0.3">
      <c r="A48" t="s">
        <v>31</v>
      </c>
      <c r="B48" t="s">
        <v>55</v>
      </c>
      <c r="D48" t="s">
        <v>8</v>
      </c>
      <c r="E48">
        <v>15602</v>
      </c>
      <c r="F48">
        <v>-32730</v>
      </c>
    </row>
    <row r="49" spans="1:6" x14ac:dyDescent="0.3">
      <c r="A49" t="s">
        <v>31</v>
      </c>
      <c r="B49" t="s">
        <v>56</v>
      </c>
      <c r="D49" t="s">
        <v>8</v>
      </c>
    </row>
    <row r="50" spans="1:6" x14ac:dyDescent="0.3">
      <c r="A50" t="s">
        <v>31</v>
      </c>
      <c r="B50" t="s">
        <v>57</v>
      </c>
      <c r="D50" t="s">
        <v>8</v>
      </c>
      <c r="E50">
        <v>15626</v>
      </c>
      <c r="F50">
        <v>-32707</v>
      </c>
    </row>
    <row r="51" spans="1:6" x14ac:dyDescent="0.3">
      <c r="A51" t="s">
        <v>31</v>
      </c>
      <c r="B51" t="s">
        <v>58</v>
      </c>
      <c r="D51" t="s">
        <v>8</v>
      </c>
      <c r="E51">
        <v>15345</v>
      </c>
      <c r="F51">
        <v>-31134</v>
      </c>
    </row>
    <row r="52" spans="1:6" x14ac:dyDescent="0.3">
      <c r="A52" t="s">
        <v>31</v>
      </c>
      <c r="B52" t="e">
        <f>- Basic and Diluted Earnings per Equity share</f>
        <v>#NAME?</v>
      </c>
      <c r="D52" t="s">
        <v>8</v>
      </c>
      <c r="E52">
        <v>-0.06</v>
      </c>
      <c r="F52">
        <v>0.31</v>
      </c>
    </row>
    <row r="53" spans="1:6" x14ac:dyDescent="0.3">
      <c r="A53" t="s">
        <v>59</v>
      </c>
      <c r="B53" t="s">
        <v>60</v>
      </c>
      <c r="D53" t="s">
        <v>8</v>
      </c>
      <c r="E53">
        <v>-276</v>
      </c>
      <c r="F53">
        <v>-1353</v>
      </c>
    </row>
    <row r="54" spans="1:6" x14ac:dyDescent="0.3">
      <c r="A54" t="s">
        <v>59</v>
      </c>
      <c r="B54" t="s">
        <v>61</v>
      </c>
      <c r="D54" t="s">
        <v>8</v>
      </c>
      <c r="E54">
        <v>-149</v>
      </c>
      <c r="F54">
        <v>-207</v>
      </c>
    </row>
    <row r="55" spans="1:6" x14ac:dyDescent="0.3">
      <c r="A55" t="s">
        <v>59</v>
      </c>
      <c r="B55" t="s">
        <v>62</v>
      </c>
      <c r="D55" t="s">
        <v>8</v>
      </c>
      <c r="E55">
        <v>-58</v>
      </c>
      <c r="F55">
        <v>-237</v>
      </c>
    </row>
    <row r="56" spans="1:6" x14ac:dyDescent="0.3">
      <c r="A56" t="s">
        <v>59</v>
      </c>
      <c r="B56" t="s">
        <v>63</v>
      </c>
      <c r="D56" t="s">
        <v>8</v>
      </c>
      <c r="E56">
        <v>194</v>
      </c>
      <c r="F56">
        <v>457</v>
      </c>
    </row>
    <row r="57" spans="1:6" x14ac:dyDescent="0.3">
      <c r="A57" t="s">
        <v>59</v>
      </c>
      <c r="B57" t="s">
        <v>64</v>
      </c>
      <c r="D57" t="s">
        <v>8</v>
      </c>
      <c r="E57">
        <v>-2</v>
      </c>
    </row>
    <row r="58" spans="1:6" x14ac:dyDescent="0.3">
      <c r="A58" t="s">
        <v>59</v>
      </c>
      <c r="B58" t="s">
        <v>65</v>
      </c>
      <c r="D58" t="s">
        <v>8</v>
      </c>
      <c r="E58">
        <v>235</v>
      </c>
      <c r="F58">
        <v>613</v>
      </c>
    </row>
    <row r="59" spans="1:6" x14ac:dyDescent="0.3">
      <c r="A59" t="s">
        <v>59</v>
      </c>
      <c r="B59" t="s">
        <v>66</v>
      </c>
      <c r="D59" t="s">
        <v>8</v>
      </c>
      <c r="E59">
        <v>-56</v>
      </c>
      <c r="F59">
        <v>-727</v>
      </c>
    </row>
    <row r="60" spans="1:6" x14ac:dyDescent="0.3">
      <c r="A60" t="s">
        <v>59</v>
      </c>
      <c r="B60" t="s">
        <v>67</v>
      </c>
      <c r="D60" t="s">
        <v>8</v>
      </c>
      <c r="E60">
        <v>755</v>
      </c>
      <c r="F60">
        <v>-715</v>
      </c>
    </row>
    <row r="61" spans="1:6" x14ac:dyDescent="0.3">
      <c r="A61" t="s">
        <v>59</v>
      </c>
      <c r="B61" t="s">
        <v>68</v>
      </c>
      <c r="D61" t="s">
        <v>8</v>
      </c>
      <c r="E61">
        <v>-790</v>
      </c>
      <c r="F61">
        <v>-1266</v>
      </c>
    </row>
    <row r="62" spans="1:6" x14ac:dyDescent="0.3">
      <c r="A62" t="s">
        <v>59</v>
      </c>
      <c r="B62" t="s">
        <v>69</v>
      </c>
      <c r="D62" t="s">
        <v>8</v>
      </c>
      <c r="E62">
        <v>-12</v>
      </c>
      <c r="F62">
        <v>1745</v>
      </c>
    </row>
    <row r="63" spans="1:6" x14ac:dyDescent="0.3">
      <c r="A63" t="s">
        <v>59</v>
      </c>
      <c r="B63" t="s">
        <v>70</v>
      </c>
      <c r="D63" t="s">
        <v>8</v>
      </c>
      <c r="E63">
        <v>-103</v>
      </c>
      <c r="F63">
        <v>-963</v>
      </c>
    </row>
    <row r="64" spans="1:6" x14ac:dyDescent="0.3">
      <c r="A64" t="s">
        <v>59</v>
      </c>
      <c r="B64" t="s">
        <v>71</v>
      </c>
      <c r="D64" t="s">
        <v>8</v>
      </c>
      <c r="E64">
        <v>2774</v>
      </c>
      <c r="F64">
        <v>2661</v>
      </c>
    </row>
    <row r="65" spans="1:6" x14ac:dyDescent="0.3">
      <c r="A65" t="s">
        <v>59</v>
      </c>
      <c r="B65" t="s">
        <v>72</v>
      </c>
      <c r="D65" t="s">
        <v>8</v>
      </c>
      <c r="E65">
        <v>2671</v>
      </c>
      <c r="F65">
        <v>1698</v>
      </c>
    </row>
    <row r="66" spans="1:6" x14ac:dyDescent="0.3">
      <c r="A66" t="s">
        <v>59</v>
      </c>
      <c r="B66" t="s">
        <v>73</v>
      </c>
      <c r="D66" t="s">
        <v>8</v>
      </c>
      <c r="F66">
        <v>-1</v>
      </c>
    </row>
    <row r="67" spans="1:6" x14ac:dyDescent="0.3">
      <c r="A67" t="s">
        <v>59</v>
      </c>
      <c r="B67" t="s">
        <v>74</v>
      </c>
      <c r="D67" t="s">
        <v>8</v>
      </c>
      <c r="F67">
        <v>9</v>
      </c>
    </row>
    <row r="68" spans="1:6" x14ac:dyDescent="0.3">
      <c r="A68" t="s">
        <v>59</v>
      </c>
      <c r="B68" t="s">
        <v>75</v>
      </c>
      <c r="D68" t="s">
        <v>8</v>
      </c>
      <c r="F68">
        <v>8</v>
      </c>
    </row>
    <row r="69" spans="1:6" x14ac:dyDescent="0.3">
      <c r="A69" t="s">
        <v>59</v>
      </c>
      <c r="B69" t="s">
        <v>76</v>
      </c>
      <c r="D69" t="s">
        <v>8</v>
      </c>
      <c r="E69">
        <v>-52</v>
      </c>
      <c r="F69">
        <v>-2331</v>
      </c>
    </row>
    <row r="70" spans="1:6" x14ac:dyDescent="0.3">
      <c r="A70" t="s">
        <v>59</v>
      </c>
      <c r="B70" t="s">
        <v>77</v>
      </c>
      <c r="D70" t="s">
        <v>8</v>
      </c>
      <c r="F70">
        <v>-6</v>
      </c>
    </row>
    <row r="71" spans="1:6" x14ac:dyDescent="0.3">
      <c r="A71" t="s">
        <v>59</v>
      </c>
      <c r="B71" t="s">
        <v>78</v>
      </c>
      <c r="D71" t="s">
        <v>8</v>
      </c>
      <c r="E71">
        <v>-52</v>
      </c>
      <c r="F71">
        <v>-2337</v>
      </c>
    </row>
    <row r="72" spans="1:6" x14ac:dyDescent="0.3">
      <c r="A72" t="s">
        <v>59</v>
      </c>
      <c r="B72" t="s">
        <v>79</v>
      </c>
      <c r="D72" t="s">
        <v>8</v>
      </c>
      <c r="E72">
        <v>2619</v>
      </c>
      <c r="F72">
        <v>-631</v>
      </c>
    </row>
    <row r="73" spans="1:6" x14ac:dyDescent="0.3">
      <c r="A73" t="s">
        <v>59</v>
      </c>
      <c r="B73" t="s">
        <v>80</v>
      </c>
      <c r="D73" t="s">
        <v>8</v>
      </c>
      <c r="E73">
        <v>1100</v>
      </c>
      <c r="F73">
        <v>1731</v>
      </c>
    </row>
    <row r="74" spans="1:6" x14ac:dyDescent="0.3">
      <c r="A74" t="s">
        <v>59</v>
      </c>
      <c r="B74" t="s">
        <v>81</v>
      </c>
      <c r="D74" t="s">
        <v>8</v>
      </c>
      <c r="E74">
        <v>3719</v>
      </c>
      <c r="F74">
        <v>1100</v>
      </c>
    </row>
    <row r="75" spans="1:6" x14ac:dyDescent="0.3">
      <c r="A75" t="s">
        <v>59</v>
      </c>
      <c r="B75" t="s">
        <v>82</v>
      </c>
      <c r="D75" t="s">
        <v>8</v>
      </c>
      <c r="E75">
        <v>0</v>
      </c>
      <c r="F75">
        <v>0</v>
      </c>
    </row>
    <row r="76" spans="1:6" x14ac:dyDescent="0.3">
      <c r="A76" t="s">
        <v>59</v>
      </c>
      <c r="B76" t="s">
        <v>83</v>
      </c>
      <c r="D76" t="s">
        <v>8</v>
      </c>
      <c r="E76">
        <v>106</v>
      </c>
      <c r="F76">
        <v>599</v>
      </c>
    </row>
    <row r="77" spans="1:6" x14ac:dyDescent="0.3">
      <c r="A77" t="s">
        <v>59</v>
      </c>
      <c r="B77" t="s">
        <v>84</v>
      </c>
      <c r="D77" t="s">
        <v>8</v>
      </c>
      <c r="E77">
        <v>3613</v>
      </c>
      <c r="F77">
        <v>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FY2023_financials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 sharma</cp:lastModifiedBy>
  <dcterms:created xsi:type="dcterms:W3CDTF">2026-07-23T10:15:36Z</dcterms:created>
  <dcterms:modified xsi:type="dcterms:W3CDTF">2026-07-23T10:18:28Z</dcterms:modified>
</cp:coreProperties>
</file>