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OneDrive\Desktop\financial modeling\data\"/>
    </mc:Choice>
  </mc:AlternateContent>
  <xr:revisionPtr revIDLastSave="0" documentId="13_ncr:9_{433F9049-BF09-4CEF-9B7E-0BD3FEA6FEB8}" xr6:coauthVersionLast="47" xr6:coauthVersionMax="47" xr10:uidLastSave="{00000000-0000-0000-0000-000000000000}"/>
  <bookViews>
    <workbookView xWindow="-108" yWindow="-108" windowWidth="23256" windowHeight="12456" xr2:uid="{85386BFB-6625-435C-A6E9-6F92EB030E99}"/>
  </bookViews>
  <sheets>
    <sheet name="FY2021_financials" sheetId="1" r:id="rId1"/>
  </sheets>
  <calcPr calcId="0"/>
</workbook>
</file>

<file path=xl/calcChain.xml><?xml version="1.0" encoding="utf-8"?>
<calcChain xmlns="http://schemas.openxmlformats.org/spreadsheetml/2006/main">
  <c r="B91" i="1" l="1"/>
  <c r="B92" i="1"/>
  <c r="B93" i="1"/>
</calcChain>
</file>

<file path=xl/sharedStrings.xml><?xml version="1.0" encoding="utf-8"?>
<sst xmlns="http://schemas.openxmlformats.org/spreadsheetml/2006/main" count="431" uniqueCount="145">
  <si>
    <t>Statement</t>
  </si>
  <si>
    <t>Line_Item</t>
  </si>
  <si>
    <t>Note_No</t>
  </si>
  <si>
    <t>Fiscal_Year</t>
  </si>
  <si>
    <t>Current_Year_Value</t>
  </si>
  <si>
    <t>Prior_Year_Value</t>
  </si>
  <si>
    <t>Balance_Sheet</t>
  </si>
  <si>
    <t>ASSETS</t>
  </si>
  <si>
    <t>FY2021</t>
  </si>
  <si>
    <t>(1) Financial Asse ts</t>
  </si>
  <si>
    <t>(a) Cash and Cash Equiva lents</t>
  </si>
  <si>
    <t>(b) Bank Bal ance other th an (a) above</t>
  </si>
  <si>
    <t>(c) Derivativ e Financial In struments</t>
  </si>
  <si>
    <t>(d) Receivab les</t>
  </si>
  <si>
    <t>(I) Trade Receivables</t>
  </si>
  <si>
    <t>(II) Other Receivables</t>
  </si>
  <si>
    <t>(e) Loans</t>
  </si>
  <si>
    <t>(f) Investme nts</t>
  </si>
  <si>
    <t>(g) Other Fin ancial Assets</t>
  </si>
  <si>
    <t>(2) Non-Financial Assets</t>
  </si>
  <si>
    <t>(a) Current T ax Assets (Ne t)</t>
  </si>
  <si>
    <t>(b) Deferred Tax Assets (N et)</t>
  </si>
  <si>
    <t>(c) Property, Plant and Eq uipment</t>
  </si>
  <si>
    <t>(d) Right-of- use Assets</t>
  </si>
  <si>
    <t>(e) Capital W ork-in-Progre ss</t>
  </si>
  <si>
    <t>(f) Other Int angible Asset s</t>
  </si>
  <si>
    <t>(g) Other No n-Financial A ssets</t>
  </si>
  <si>
    <t>TOTAL ASSETS</t>
  </si>
  <si>
    <t>LIABILITIES A ND EQUITY</t>
  </si>
  <si>
    <t>LIABILITIES</t>
  </si>
  <si>
    <t>(1) Financial Liab ilities</t>
  </si>
  <si>
    <t>(a) Derivativ e Financial In struments</t>
  </si>
  <si>
    <t>(b) Payables</t>
  </si>
  <si>
    <t>(i) Trade Payables</t>
  </si>
  <si>
    <t>(ii) Total outstanding dues of micro ent erprises an d small enterprises</t>
  </si>
  <si>
    <t>(iii) Total
small outstanding
enterprises dues of creditors other than micro enterprises and</t>
  </si>
  <si>
    <t>(c) Debt Sec urities</t>
  </si>
  <si>
    <t>(d) Borrowin gs (Other tha n Debt Securities)</t>
  </si>
  <si>
    <t>(e) Subordin ated Liabilitie s</t>
  </si>
  <si>
    <t>(f) Lease Lia bilities</t>
  </si>
  <si>
    <t>(g) Other Fin ancial Liabili ties</t>
  </si>
  <si>
    <t>(2) Non-Financial Liabilities</t>
  </si>
  <si>
    <t>(a) Provision s</t>
  </si>
  <si>
    <t>(b) Deferred Tax Liabilitie s (Net)</t>
  </si>
  <si>
    <t>(c) Other No n-Financial L iabilities</t>
  </si>
  <si>
    <t>(3) Equity</t>
  </si>
  <si>
    <t>(a) Equity Sh are Capital</t>
  </si>
  <si>
    <t>(b) Other Eq uity</t>
  </si>
  <si>
    <t>TOTAL LIABILI TIES AND EQU ITY</t>
  </si>
  <si>
    <t>Profit_and_Loss</t>
  </si>
  <si>
    <t>Revenue from Operations</t>
  </si>
  <si>
    <t>(i) Interest Income</t>
  </si>
  <si>
    <t>(ii) Dividend Income</t>
  </si>
  <si>
    <t>(iii) Rental Income</t>
  </si>
  <si>
    <t>(iv) Fees and Commission Inc ome</t>
  </si>
  <si>
    <t>(v) Net gain on fair value ch anges</t>
  </si>
  <si>
    <t>(vi) Net gain on derecognitio
profi t or loss n of fi nancial instru ments under fa ir value thr</t>
  </si>
  <si>
    <t>ough</t>
  </si>
  <si>
    <t>(vii) Net gain on derecognition of fi nancial instrum ents under amo rtised cost</t>
  </si>
  <si>
    <t>(I) Total Revenue from Operati ons</t>
  </si>
  <si>
    <t>(II) Other Income</t>
  </si>
  <si>
    <t>(III) Total Income (I+II)</t>
  </si>
  <si>
    <t>Expenses</t>
  </si>
  <si>
    <t>(i) Finance Costs</t>
  </si>
  <si>
    <t>(ii) Fees and Commission Ex pense</t>
  </si>
  <si>
    <t>(iii) Net loss on derecognition of fi nancial instrume nts under amo rtised cost</t>
  </si>
  <si>
    <t>(iv) Impairment on Financial Instruments (Net)</t>
  </si>
  <si>
    <t>(v) Employee Benefi ts Expen ses</t>
  </si>
  <si>
    <t>(vi) Depreciation, Amortisatio n and Impairment Ex pense</t>
  </si>
  <si>
    <t>12, 13</t>
  </si>
  <si>
    <t>(vii) Administrative and Other Expenses</t>
  </si>
  <si>
    <t>(IV) Total Expenses (IV)</t>
  </si>
  <si>
    <t>(V) Profi t / (Loss) Before Exc
(III-IV) eptional items and Ta x from continui ng operatio</t>
  </si>
  <si>
    <t>ns</t>
  </si>
  <si>
    <t>(VI) Exceptional items</t>
  </si>
  <si>
    <t>(VII) Profi t / (Loss) Before Tax from continuing oper ations (V-VI)</t>
  </si>
  <si>
    <t>(VIII) Tax Expense of continuin g operation:</t>
  </si>
  <si>
    <t>(a) Current Tax</t>
  </si>
  <si>
    <t>(b) Income Tax in respe ct of earlier year</t>
  </si>
  <si>
    <t>(c) Deferred Tax</t>
  </si>
  <si>
    <t>(IX) Profi t / (Loss) after tax fro m continuing operati ons (VII-VIII)</t>
  </si>
  <si>
    <t>(X) Profi t before Tax from dis continued operations</t>
  </si>
  <si>
    <t>(XI) Tax Expenses of discontin ued operations:</t>
  </si>
  <si>
    <t>(XII) Profi t after Tax from disc ontinued operations ( X-XI)</t>
  </si>
  <si>
    <t>(XIII) Total Profi t Before Tax (VI I+X)</t>
  </si>
  <si>
    <t>(XIV) Total Tax:</t>
  </si>
  <si>
    <t>(XV) Total Profi t/ (Loss) after T ax (XIII-XIV)</t>
  </si>
  <si>
    <t>(XVI) Other Comprehensive Inco me/(Expense)</t>
  </si>
  <si>
    <t>(i) Items that will not b e reclassifi ed to Profi t or Loss</t>
  </si>
  <si>
    <t>(a) Remeasurement G ains/ (Losses) on Defi ned Benefi t Pla n</t>
  </si>
  <si>
    <t>(b) Gains/ (Losses) o
Income n Equity Instruments through Othe r Comprehe</t>
  </si>
  <si>
    <t>nsive</t>
  </si>
  <si>
    <t>(ii) Tax related to above</t>
  </si>
  <si>
    <t>Total Other Comprehensive Income/(Expense) (XV I)</t>
  </si>
  <si>
    <t>(XVII) Total Comprehensive Incom e/(Expense) (XV+XVI)</t>
  </si>
  <si>
    <t>(XVIII) Earnings per Equity share ( in `) (Par Value ` 10/ - per Equity Sha re)</t>
  </si>
  <si>
    <t>ued</t>
  </si>
  <si>
    <t>Cash_Flow</t>
  </si>
  <si>
    <t>A. Cash Flows fr</t>
  </si>
  <si>
    <t>Profi t/ (Loss) Before Tax from continui ng operations</t>
  </si>
  <si>
    <t>Profi t/ (Loss ) Before Tax from disco ntinued operation</t>
  </si>
  <si>
    <t>Total Profi t/ ( Loss) Before Tax</t>
  </si>
  <si>
    <t>Adjustmen</t>
  </si>
  <si>
    <t>Net (gain) / loss on derecognition of Property, Plant</t>
  </si>
  <si>
    <t>Interest on Income Tax Refund</t>
  </si>
  <si>
    <t>Liabilities No Longer Required wr itten back</t>
  </si>
  <si>
    <t>Impairmen t on Financial Instrume nts (Net)</t>
  </si>
  <si>
    <t>Exceptiona l items</t>
  </si>
  <si>
    <t>Depreciati on, Amortisation and Im pairment</t>
  </si>
  <si>
    <t>Operating pr ofi t before working capita l changes</t>
  </si>
  <si>
    <t>Changes in W</t>
  </si>
  <si>
    <t>(Increase) / Decrease in Trade Rec eivables and Oth ers Assets</t>
  </si>
  <si>
    <t>(Increase) / Decrease in Loans As</t>
  </si>
  <si>
    <t>Increase / (Decrease) in Trade Pay ables and Others Liabilities</t>
  </si>
  <si>
    <t>Increase/ ( Decrease) in Other Ban k Balances</t>
  </si>
  <si>
    <t>Cash generat ed / (used) in operations</t>
  </si>
  <si>
    <t>Direct Tax es Paid (net of refund)</t>
  </si>
  <si>
    <t>Net Cash (us ed in) / generated from O perating Activities</t>
  </si>
  <si>
    <t>B. Cash Flows fr</t>
  </si>
  <si>
    <t>Purchase of Property, Plant and E quipment, and In tangible Assets</t>
  </si>
  <si>
    <t>Proceeds f rom Sale of Property, P lant and Equipme</t>
  </si>
  <si>
    <t>(Increase) / Decrease in Investme nts (Other than Su bsidiaries)</t>
  </si>
  <si>
    <t>(Increase) / Decrease of Investme nts in Subsidiarie s</t>
  </si>
  <si>
    <t>Net Cash (us ed in) / generated from I nvesting Activities</t>
  </si>
  <si>
    <t>C. Cash Flows fr</t>
  </si>
  <si>
    <t>Proceeds f rom issuance of Debt s ecurities (includin</t>
  </si>
  <si>
    <t>Repaymen t of Debt securities (inc luding subordinat ed debt securities)</t>
  </si>
  <si>
    <t>(Repayme nt of) / Proceeds from W orking Capital fac</t>
  </si>
  <si>
    <t>Proceeds f rom intercorporate dep osit</t>
  </si>
  <si>
    <t>Repaymen t of intercorporate depo sit</t>
  </si>
  <si>
    <t>Proceeds f</t>
  </si>
  <si>
    <t>(Repayme nt of) / Proceeds from O ther Borrowings ( Net)</t>
  </si>
  <si>
    <t>Dividend P aid (including Corporat e Dividend Tax)</t>
  </si>
  <si>
    <t>Net Cash (us ed in) / generated from F inancing Activities</t>
  </si>
  <si>
    <t>Net Increase / (Decrease) in Cash and Cash Equivalents</t>
  </si>
  <si>
    <t>Cash and Ca sh Equivalents at the beg inning of the year</t>
  </si>
  <si>
    <t>Cash and Cash Equivalents transf erred under slump</t>
  </si>
  <si>
    <t>Cash and Ca sh Equivalents at the end of the year</t>
  </si>
  <si>
    <t>Interest Re ceived</t>
  </si>
  <si>
    <t>Interest Pa id</t>
  </si>
  <si>
    <t>Dividend R</t>
  </si>
  <si>
    <t>Components of Cash and Cash Equiva lents: As
31st Ma at
rch 2021</t>
  </si>
  <si>
    <t>Cash and Ca sh Equivalents at the e</t>
  </si>
  <si>
    <t>(a) Cash o</t>
  </si>
  <si>
    <t>(b) Balanc es with Banks - in Curr ent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</si>
</sst>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4EB0F-7F4F-4668-9B2C-F903857B5613}" name="Table1" displayName="Table1" ref="A1:F142" totalsRowShown="0">
  <autoFilter ref="A1:F142" xr:uid="{24A4EB0F-7F4F-4668-9B2C-F903857B5613}"/>
  <tableColumns count="6">
    <tableColumn id="1" xr3:uid="{AC40EDF2-74B5-4100-BC8E-2CA66896C026}" name="Statement"/>
    <tableColumn id="2" xr3:uid="{0D5C4D9B-0130-4866-8452-40309AB8725B}" name="Line_Item"/>
    <tableColumn id="3" xr3:uid="{38E74BA6-29CD-43E3-8BD4-5DFB7A2A3CCB}" name="Note_No"/>
    <tableColumn id="4" xr3:uid="{11B94A16-8434-4B04-88AA-38280A6F1634}" name="Fiscal_Year"/>
    <tableColumn id="5" xr3:uid="{7F9E105A-98B0-4739-AF14-4930F306B7E5}" name="Current_Year_Value"/>
    <tableColumn id="6" xr3:uid="{E1571286-9CD8-45D1-89CD-C33E3AEC8516}" name="Prior_Yea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902B-A113-4162-960F-379214517837}">
  <dimension ref="A1:F142"/>
  <sheetViews>
    <sheetView tabSelected="1" workbookViewId="0">
      <selection activeCell="G7" sqref="G7"/>
    </sheetView>
  </sheetViews>
  <sheetFormatPr defaultRowHeight="14.4" x14ac:dyDescent="0.3"/>
  <cols>
    <col min="1" max="1" width="14.21875" bestFit="1" customWidth="1"/>
    <col min="2" max="2" width="65.33203125" bestFit="1" customWidth="1"/>
    <col min="3" max="3" width="10.77734375" bestFit="1" customWidth="1"/>
    <col min="4" max="4" width="12.33203125" bestFit="1" customWidth="1"/>
    <col min="5" max="5" width="20.21875" bestFit="1" customWidth="1"/>
    <col min="6" max="6" width="17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D2" t="s">
        <v>8</v>
      </c>
    </row>
    <row r="3" spans="1:6" x14ac:dyDescent="0.3">
      <c r="A3" t="s">
        <v>6</v>
      </c>
      <c r="B3" t="s">
        <v>9</v>
      </c>
      <c r="D3" t="s">
        <v>8</v>
      </c>
    </row>
    <row r="4" spans="1:6" x14ac:dyDescent="0.3">
      <c r="A4" t="s">
        <v>6</v>
      </c>
      <c r="B4" t="s">
        <v>10</v>
      </c>
      <c r="C4">
        <v>2</v>
      </c>
      <c r="D4" t="s">
        <v>8</v>
      </c>
      <c r="E4">
        <v>1731</v>
      </c>
      <c r="F4">
        <v>1078</v>
      </c>
    </row>
    <row r="5" spans="1:6" x14ac:dyDescent="0.3">
      <c r="A5" t="s">
        <v>6</v>
      </c>
      <c r="B5" t="s">
        <v>11</v>
      </c>
      <c r="C5">
        <v>3</v>
      </c>
      <c r="D5" t="s">
        <v>8</v>
      </c>
      <c r="E5">
        <v>1998</v>
      </c>
      <c r="F5">
        <v>303</v>
      </c>
    </row>
    <row r="6" spans="1:6" x14ac:dyDescent="0.3">
      <c r="A6" t="s">
        <v>6</v>
      </c>
      <c r="B6" t="s">
        <v>12</v>
      </c>
      <c r="C6">
        <v>4</v>
      </c>
      <c r="D6" t="s">
        <v>8</v>
      </c>
    </row>
    <row r="7" spans="1:6" x14ac:dyDescent="0.3">
      <c r="A7" t="s">
        <v>6</v>
      </c>
      <c r="B7" t="s">
        <v>13</v>
      </c>
      <c r="D7" t="s">
        <v>8</v>
      </c>
    </row>
    <row r="8" spans="1:6" x14ac:dyDescent="0.3">
      <c r="A8" t="s">
        <v>6</v>
      </c>
      <c r="B8" t="s">
        <v>14</v>
      </c>
      <c r="C8">
        <v>5</v>
      </c>
      <c r="D8" t="s">
        <v>8</v>
      </c>
      <c r="E8">
        <v>1204</v>
      </c>
      <c r="F8">
        <v>2389</v>
      </c>
    </row>
    <row r="9" spans="1:6" x14ac:dyDescent="0.3">
      <c r="A9" t="s">
        <v>6</v>
      </c>
      <c r="B9" t="s">
        <v>15</v>
      </c>
      <c r="D9" t="s">
        <v>8</v>
      </c>
    </row>
    <row r="10" spans="1:6" x14ac:dyDescent="0.3">
      <c r="A10" t="s">
        <v>6</v>
      </c>
      <c r="B10" t="s">
        <v>16</v>
      </c>
      <c r="C10">
        <v>6</v>
      </c>
      <c r="D10" t="s">
        <v>8</v>
      </c>
    </row>
    <row r="11" spans="1:6" x14ac:dyDescent="0.3">
      <c r="A11" t="s">
        <v>6</v>
      </c>
      <c r="B11" t="s">
        <v>17</v>
      </c>
      <c r="C11">
        <v>7</v>
      </c>
      <c r="D11" t="s">
        <v>8</v>
      </c>
      <c r="E11">
        <v>61185</v>
      </c>
      <c r="F11">
        <v>355301</v>
      </c>
    </row>
    <row r="12" spans="1:6" x14ac:dyDescent="0.3">
      <c r="A12" t="s">
        <v>6</v>
      </c>
      <c r="B12" t="s">
        <v>18</v>
      </c>
      <c r="C12">
        <v>8</v>
      </c>
      <c r="D12" t="s">
        <v>8</v>
      </c>
      <c r="E12">
        <v>496</v>
      </c>
      <c r="F12">
        <v>137</v>
      </c>
    </row>
    <row r="13" spans="1:6" x14ac:dyDescent="0.3">
      <c r="A13" t="s">
        <v>6</v>
      </c>
      <c r="B13" t="s">
        <v>19</v>
      </c>
      <c r="D13" t="s">
        <v>8</v>
      </c>
    </row>
    <row r="14" spans="1:6" x14ac:dyDescent="0.3">
      <c r="A14" t="s">
        <v>6</v>
      </c>
      <c r="B14" t="s">
        <v>20</v>
      </c>
      <c r="C14">
        <v>10</v>
      </c>
      <c r="D14" t="s">
        <v>8</v>
      </c>
      <c r="E14">
        <v>7488</v>
      </c>
      <c r="F14">
        <v>14454</v>
      </c>
    </row>
    <row r="15" spans="1:6" x14ac:dyDescent="0.3">
      <c r="A15" t="s">
        <v>6</v>
      </c>
      <c r="B15" t="s">
        <v>21</v>
      </c>
      <c r="C15">
        <v>11</v>
      </c>
      <c r="D15" t="s">
        <v>8</v>
      </c>
    </row>
    <row r="16" spans="1:6" x14ac:dyDescent="0.3">
      <c r="A16" t="s">
        <v>6</v>
      </c>
      <c r="B16" t="s">
        <v>22</v>
      </c>
      <c r="C16">
        <v>12</v>
      </c>
      <c r="D16" t="s">
        <v>8</v>
      </c>
      <c r="E16">
        <v>9655</v>
      </c>
      <c r="F16">
        <v>9865</v>
      </c>
    </row>
    <row r="17" spans="1:6" x14ac:dyDescent="0.3">
      <c r="A17" t="s">
        <v>6</v>
      </c>
      <c r="B17" t="s">
        <v>23</v>
      </c>
      <c r="D17" t="s">
        <v>8</v>
      </c>
      <c r="E17">
        <v>1775</v>
      </c>
      <c r="F17">
        <v>2160</v>
      </c>
    </row>
    <row r="18" spans="1:6" x14ac:dyDescent="0.3">
      <c r="A18" t="s">
        <v>6</v>
      </c>
      <c r="B18" t="s">
        <v>24</v>
      </c>
      <c r="D18" t="s">
        <v>8</v>
      </c>
    </row>
    <row r="19" spans="1:6" x14ac:dyDescent="0.3">
      <c r="A19" t="s">
        <v>6</v>
      </c>
      <c r="B19" t="s">
        <v>25</v>
      </c>
      <c r="C19">
        <v>13</v>
      </c>
      <c r="D19" t="s">
        <v>8</v>
      </c>
      <c r="E19">
        <v>4</v>
      </c>
      <c r="F19">
        <v>6</v>
      </c>
    </row>
    <row r="20" spans="1:6" x14ac:dyDescent="0.3">
      <c r="A20" t="s">
        <v>6</v>
      </c>
      <c r="B20" t="s">
        <v>26</v>
      </c>
      <c r="C20">
        <v>9</v>
      </c>
      <c r="D20" t="s">
        <v>8</v>
      </c>
      <c r="E20">
        <v>213</v>
      </c>
      <c r="F20">
        <v>369</v>
      </c>
    </row>
    <row r="21" spans="1:6" x14ac:dyDescent="0.3">
      <c r="A21" t="s">
        <v>6</v>
      </c>
      <c r="B21" t="s">
        <v>27</v>
      </c>
      <c r="D21" t="s">
        <v>8</v>
      </c>
      <c r="E21">
        <v>85749</v>
      </c>
      <c r="F21">
        <v>386062</v>
      </c>
    </row>
    <row r="22" spans="1:6" x14ac:dyDescent="0.3">
      <c r="A22" t="s">
        <v>6</v>
      </c>
      <c r="B22" t="s">
        <v>28</v>
      </c>
      <c r="D22" t="s">
        <v>8</v>
      </c>
    </row>
    <row r="23" spans="1:6" x14ac:dyDescent="0.3">
      <c r="A23" t="s">
        <v>6</v>
      </c>
      <c r="B23" t="s">
        <v>29</v>
      </c>
      <c r="D23" t="s">
        <v>8</v>
      </c>
    </row>
    <row r="24" spans="1:6" x14ac:dyDescent="0.3">
      <c r="A24" t="s">
        <v>6</v>
      </c>
      <c r="B24" t="s">
        <v>30</v>
      </c>
      <c r="D24" t="s">
        <v>8</v>
      </c>
    </row>
    <row r="25" spans="1:6" x14ac:dyDescent="0.3">
      <c r="A25" t="s">
        <v>6</v>
      </c>
      <c r="B25" t="s">
        <v>31</v>
      </c>
      <c r="C25">
        <v>4</v>
      </c>
      <c r="D25" t="s">
        <v>8</v>
      </c>
    </row>
    <row r="26" spans="1:6" x14ac:dyDescent="0.3">
      <c r="A26" t="s">
        <v>6</v>
      </c>
      <c r="B26" t="s">
        <v>32</v>
      </c>
      <c r="D26" t="s">
        <v>8</v>
      </c>
    </row>
    <row r="27" spans="1:6" x14ac:dyDescent="0.3">
      <c r="A27" t="s">
        <v>6</v>
      </c>
      <c r="B27" t="s">
        <v>33</v>
      </c>
      <c r="D27" t="s">
        <v>8</v>
      </c>
    </row>
    <row r="28" spans="1:6" x14ac:dyDescent="0.3">
      <c r="A28" t="s">
        <v>6</v>
      </c>
      <c r="B28" t="s">
        <v>34</v>
      </c>
      <c r="C28">
        <v>14</v>
      </c>
      <c r="D28" t="s">
        <v>8</v>
      </c>
      <c r="E28">
        <v>14</v>
      </c>
    </row>
    <row r="29" spans="1:6" x14ac:dyDescent="0.3">
      <c r="A29" t="s">
        <v>6</v>
      </c>
      <c r="B29" s="1" t="s">
        <v>35</v>
      </c>
      <c r="C29">
        <v>14</v>
      </c>
      <c r="D29" t="s">
        <v>8</v>
      </c>
      <c r="E29">
        <v>367</v>
      </c>
      <c r="F29">
        <v>337</v>
      </c>
    </row>
    <row r="30" spans="1:6" x14ac:dyDescent="0.3">
      <c r="A30" t="s">
        <v>6</v>
      </c>
      <c r="B30" t="s">
        <v>36</v>
      </c>
      <c r="C30">
        <v>15</v>
      </c>
      <c r="D30" t="s">
        <v>8</v>
      </c>
    </row>
    <row r="31" spans="1:6" x14ac:dyDescent="0.3">
      <c r="A31" t="s">
        <v>6</v>
      </c>
      <c r="B31" t="s">
        <v>37</v>
      </c>
      <c r="C31">
        <v>16</v>
      </c>
      <c r="D31" t="s">
        <v>8</v>
      </c>
      <c r="E31">
        <v>28055</v>
      </c>
      <c r="F31">
        <v>45351</v>
      </c>
    </row>
    <row r="32" spans="1:6" x14ac:dyDescent="0.3">
      <c r="A32" t="s">
        <v>6</v>
      </c>
      <c r="B32" t="s">
        <v>38</v>
      </c>
      <c r="C32">
        <v>17</v>
      </c>
      <c r="D32" t="s">
        <v>8</v>
      </c>
      <c r="E32">
        <v>33000</v>
      </c>
      <c r="F32">
        <v>36075</v>
      </c>
    </row>
    <row r="33" spans="1:6" x14ac:dyDescent="0.3">
      <c r="A33" t="s">
        <v>6</v>
      </c>
      <c r="B33" t="s">
        <v>39</v>
      </c>
      <c r="D33" t="s">
        <v>8</v>
      </c>
      <c r="E33">
        <v>1994</v>
      </c>
      <c r="F33">
        <v>2271</v>
      </c>
    </row>
    <row r="34" spans="1:6" x14ac:dyDescent="0.3">
      <c r="A34" t="s">
        <v>6</v>
      </c>
      <c r="B34" t="s">
        <v>40</v>
      </c>
      <c r="C34">
        <v>18</v>
      </c>
      <c r="D34" t="s">
        <v>8</v>
      </c>
      <c r="E34">
        <v>18351</v>
      </c>
      <c r="F34">
        <v>1324</v>
      </c>
    </row>
    <row r="35" spans="1:6" x14ac:dyDescent="0.3">
      <c r="A35" t="s">
        <v>6</v>
      </c>
      <c r="B35" t="s">
        <v>41</v>
      </c>
      <c r="D35" t="s">
        <v>8</v>
      </c>
    </row>
    <row r="36" spans="1:6" x14ac:dyDescent="0.3">
      <c r="A36" t="s">
        <v>6</v>
      </c>
      <c r="B36" t="s">
        <v>42</v>
      </c>
      <c r="C36">
        <v>19</v>
      </c>
      <c r="D36" t="s">
        <v>8</v>
      </c>
      <c r="E36">
        <v>51</v>
      </c>
      <c r="F36">
        <v>142</v>
      </c>
    </row>
    <row r="37" spans="1:6" x14ac:dyDescent="0.3">
      <c r="A37" t="s">
        <v>6</v>
      </c>
      <c r="B37" t="s">
        <v>43</v>
      </c>
      <c r="C37">
        <v>11</v>
      </c>
      <c r="D37" t="s">
        <v>8</v>
      </c>
      <c r="F37">
        <v>15716</v>
      </c>
    </row>
    <row r="38" spans="1:6" x14ac:dyDescent="0.3">
      <c r="A38" t="s">
        <v>6</v>
      </c>
      <c r="B38" t="s">
        <v>44</v>
      </c>
      <c r="C38">
        <v>20</v>
      </c>
      <c r="D38" t="s">
        <v>8</v>
      </c>
      <c r="E38">
        <v>195</v>
      </c>
      <c r="F38">
        <v>579</v>
      </c>
    </row>
    <row r="39" spans="1:6" x14ac:dyDescent="0.3">
      <c r="A39" t="s">
        <v>6</v>
      </c>
      <c r="B39" t="s">
        <v>45</v>
      </c>
      <c r="D39" t="s">
        <v>8</v>
      </c>
    </row>
    <row r="40" spans="1:6" x14ac:dyDescent="0.3">
      <c r="A40" t="s">
        <v>6</v>
      </c>
      <c r="B40" t="s">
        <v>46</v>
      </c>
      <c r="C40">
        <v>21</v>
      </c>
      <c r="D40" t="s">
        <v>8</v>
      </c>
      <c r="E40">
        <v>50309</v>
      </c>
      <c r="F40">
        <v>50309</v>
      </c>
    </row>
    <row r="41" spans="1:6" x14ac:dyDescent="0.3">
      <c r="A41" t="s">
        <v>6</v>
      </c>
      <c r="B41" t="s">
        <v>47</v>
      </c>
      <c r="C41">
        <v>22</v>
      </c>
      <c r="D41" t="s">
        <v>8</v>
      </c>
      <c r="E41">
        <v>-46587</v>
      </c>
      <c r="F41">
        <v>233958</v>
      </c>
    </row>
    <row r="42" spans="1:6" x14ac:dyDescent="0.3">
      <c r="A42" t="s">
        <v>6</v>
      </c>
      <c r="B42" t="s">
        <v>48</v>
      </c>
      <c r="D42" t="s">
        <v>8</v>
      </c>
      <c r="E42">
        <v>85749</v>
      </c>
      <c r="F42">
        <v>386062</v>
      </c>
    </row>
    <row r="43" spans="1:6" x14ac:dyDescent="0.3">
      <c r="A43" t="s">
        <v>49</v>
      </c>
      <c r="B43" t="s">
        <v>50</v>
      </c>
      <c r="D43" t="s">
        <v>8</v>
      </c>
    </row>
    <row r="44" spans="1:6" x14ac:dyDescent="0.3">
      <c r="A44" t="s">
        <v>49</v>
      </c>
      <c r="B44" t="s">
        <v>51</v>
      </c>
      <c r="C44">
        <v>23</v>
      </c>
      <c r="D44" t="s">
        <v>8</v>
      </c>
      <c r="F44">
        <v>28</v>
      </c>
    </row>
    <row r="45" spans="1:6" x14ac:dyDescent="0.3">
      <c r="A45" t="s">
        <v>49</v>
      </c>
      <c r="B45" t="s">
        <v>52</v>
      </c>
      <c r="D45" t="s">
        <v>8</v>
      </c>
    </row>
    <row r="46" spans="1:6" x14ac:dyDescent="0.3">
      <c r="A46" t="s">
        <v>49</v>
      </c>
      <c r="B46" t="s">
        <v>53</v>
      </c>
      <c r="D46" t="s">
        <v>8</v>
      </c>
      <c r="F46">
        <v>1391</v>
      </c>
    </row>
    <row r="47" spans="1:6" x14ac:dyDescent="0.3">
      <c r="A47" t="s">
        <v>49</v>
      </c>
      <c r="B47" t="s">
        <v>54</v>
      </c>
      <c r="D47" t="s">
        <v>8</v>
      </c>
      <c r="F47">
        <v>2494</v>
      </c>
    </row>
    <row r="48" spans="1:6" x14ac:dyDescent="0.3">
      <c r="A48" t="s">
        <v>49</v>
      </c>
      <c r="B48" t="s">
        <v>55</v>
      </c>
      <c r="C48">
        <v>24</v>
      </c>
      <c r="D48" t="s">
        <v>8</v>
      </c>
    </row>
    <row r="49" spans="1:6" x14ac:dyDescent="0.3">
      <c r="A49" t="s">
        <v>49</v>
      </c>
      <c r="B49" s="1" t="s">
        <v>56</v>
      </c>
      <c r="C49" t="s">
        <v>57</v>
      </c>
      <c r="D49" t="s">
        <v>8</v>
      </c>
      <c r="F49">
        <v>3</v>
      </c>
    </row>
    <row r="50" spans="1:6" x14ac:dyDescent="0.3">
      <c r="A50" t="s">
        <v>49</v>
      </c>
      <c r="B50" t="s">
        <v>58</v>
      </c>
      <c r="D50" t="s">
        <v>8</v>
      </c>
      <c r="F50">
        <v>274</v>
      </c>
    </row>
    <row r="51" spans="1:6" x14ac:dyDescent="0.3">
      <c r="A51" t="s">
        <v>49</v>
      </c>
      <c r="B51" t="s">
        <v>59</v>
      </c>
      <c r="D51" t="s">
        <v>8</v>
      </c>
      <c r="F51">
        <v>4190</v>
      </c>
    </row>
    <row r="52" spans="1:6" x14ac:dyDescent="0.3">
      <c r="A52" t="s">
        <v>49</v>
      </c>
      <c r="B52" t="s">
        <v>60</v>
      </c>
      <c r="C52">
        <v>25</v>
      </c>
      <c r="D52" t="s">
        <v>8</v>
      </c>
      <c r="F52">
        <v>811</v>
      </c>
    </row>
    <row r="53" spans="1:6" x14ac:dyDescent="0.3">
      <c r="A53" t="s">
        <v>49</v>
      </c>
      <c r="B53" t="s">
        <v>61</v>
      </c>
      <c r="D53" t="s">
        <v>8</v>
      </c>
      <c r="F53">
        <v>5001</v>
      </c>
    </row>
    <row r="54" spans="1:6" x14ac:dyDescent="0.3">
      <c r="A54" t="s">
        <v>49</v>
      </c>
      <c r="B54" t="s">
        <v>62</v>
      </c>
      <c r="D54" t="s">
        <v>8</v>
      </c>
    </row>
    <row r="55" spans="1:6" x14ac:dyDescent="0.3">
      <c r="A55" t="s">
        <v>49</v>
      </c>
      <c r="B55" t="s">
        <v>63</v>
      </c>
      <c r="C55">
        <v>26</v>
      </c>
      <c r="D55" t="s">
        <v>8</v>
      </c>
      <c r="F55">
        <v>3282</v>
      </c>
    </row>
    <row r="56" spans="1:6" x14ac:dyDescent="0.3">
      <c r="A56" t="s">
        <v>49</v>
      </c>
      <c r="B56" t="s">
        <v>64</v>
      </c>
      <c r="D56" t="s">
        <v>8</v>
      </c>
      <c r="F56">
        <v>1178</v>
      </c>
    </row>
    <row r="57" spans="1:6" x14ac:dyDescent="0.3">
      <c r="A57" t="s">
        <v>49</v>
      </c>
      <c r="B57" t="s">
        <v>65</v>
      </c>
      <c r="D57" t="s">
        <v>8</v>
      </c>
    </row>
    <row r="58" spans="1:6" x14ac:dyDescent="0.3">
      <c r="A58" t="s">
        <v>49</v>
      </c>
      <c r="B58" t="s">
        <v>66</v>
      </c>
      <c r="C58">
        <v>28</v>
      </c>
      <c r="D58" t="s">
        <v>8</v>
      </c>
      <c r="F58">
        <v>1472</v>
      </c>
    </row>
    <row r="59" spans="1:6" x14ac:dyDescent="0.3">
      <c r="A59" t="s">
        <v>49</v>
      </c>
      <c r="B59" t="s">
        <v>67</v>
      </c>
      <c r="C59">
        <v>27</v>
      </c>
      <c r="D59" t="s">
        <v>8</v>
      </c>
      <c r="F59">
        <v>813</v>
      </c>
    </row>
    <row r="60" spans="1:6" x14ac:dyDescent="0.3">
      <c r="A60" t="s">
        <v>49</v>
      </c>
      <c r="B60" t="s">
        <v>68</v>
      </c>
      <c r="C60" t="s">
        <v>69</v>
      </c>
      <c r="D60" t="s">
        <v>8</v>
      </c>
      <c r="F60">
        <v>773</v>
      </c>
    </row>
    <row r="61" spans="1:6" x14ac:dyDescent="0.3">
      <c r="A61" t="s">
        <v>49</v>
      </c>
      <c r="B61" t="s">
        <v>70</v>
      </c>
      <c r="C61">
        <v>29</v>
      </c>
      <c r="D61" t="s">
        <v>8</v>
      </c>
      <c r="F61">
        <v>1000</v>
      </c>
    </row>
    <row r="62" spans="1:6" x14ac:dyDescent="0.3">
      <c r="A62" t="s">
        <v>49</v>
      </c>
      <c r="B62" t="s">
        <v>71</v>
      </c>
      <c r="D62" t="s">
        <v>8</v>
      </c>
      <c r="F62">
        <v>8518</v>
      </c>
    </row>
    <row r="63" spans="1:6" x14ac:dyDescent="0.3">
      <c r="A63" t="s">
        <v>49</v>
      </c>
      <c r="B63" s="1" t="s">
        <v>72</v>
      </c>
      <c r="C63" t="s">
        <v>73</v>
      </c>
      <c r="D63" t="s">
        <v>8</v>
      </c>
      <c r="F63">
        <v>-3517</v>
      </c>
    </row>
    <row r="64" spans="1:6" x14ac:dyDescent="0.3">
      <c r="A64" t="s">
        <v>49</v>
      </c>
      <c r="B64" t="s">
        <v>74</v>
      </c>
      <c r="D64" t="s">
        <v>8</v>
      </c>
      <c r="F64">
        <v>310455</v>
      </c>
    </row>
    <row r="65" spans="1:6" x14ac:dyDescent="0.3">
      <c r="A65" t="s">
        <v>49</v>
      </c>
      <c r="B65" t="s">
        <v>75</v>
      </c>
      <c r="D65" t="s">
        <v>8</v>
      </c>
      <c r="F65">
        <v>-313972</v>
      </c>
    </row>
    <row r="66" spans="1:6" x14ac:dyDescent="0.3">
      <c r="A66" t="s">
        <v>49</v>
      </c>
      <c r="B66" t="s">
        <v>76</v>
      </c>
      <c r="D66" t="s">
        <v>8</v>
      </c>
    </row>
    <row r="67" spans="1:6" x14ac:dyDescent="0.3">
      <c r="A67" t="s">
        <v>49</v>
      </c>
      <c r="B67" t="s">
        <v>77</v>
      </c>
      <c r="D67" t="s">
        <v>8</v>
      </c>
    </row>
    <row r="68" spans="1:6" x14ac:dyDescent="0.3">
      <c r="A68" t="s">
        <v>49</v>
      </c>
      <c r="B68" t="s">
        <v>78</v>
      </c>
      <c r="D68" t="s">
        <v>8</v>
      </c>
      <c r="F68">
        <v>-54</v>
      </c>
    </row>
    <row r="69" spans="1:6" x14ac:dyDescent="0.3">
      <c r="A69" t="s">
        <v>49</v>
      </c>
      <c r="B69" t="s">
        <v>79</v>
      </c>
      <c r="D69" t="s">
        <v>8</v>
      </c>
      <c r="F69">
        <v>-19446</v>
      </c>
    </row>
    <row r="70" spans="1:6" x14ac:dyDescent="0.3">
      <c r="A70" t="s">
        <v>49</v>
      </c>
      <c r="B70" t="s">
        <v>80</v>
      </c>
      <c r="D70" t="s">
        <v>8</v>
      </c>
      <c r="F70">
        <v>-294472</v>
      </c>
    </row>
    <row r="71" spans="1:6" x14ac:dyDescent="0.3">
      <c r="A71" t="s">
        <v>49</v>
      </c>
      <c r="B71" t="s">
        <v>81</v>
      </c>
      <c r="D71" t="s">
        <v>8</v>
      </c>
    </row>
    <row r="72" spans="1:6" x14ac:dyDescent="0.3">
      <c r="A72" t="s">
        <v>49</v>
      </c>
      <c r="B72" t="s">
        <v>82</v>
      </c>
      <c r="D72" t="s">
        <v>8</v>
      </c>
    </row>
    <row r="73" spans="1:6" x14ac:dyDescent="0.3">
      <c r="A73" t="s">
        <v>49</v>
      </c>
      <c r="B73" t="s">
        <v>77</v>
      </c>
      <c r="D73" t="s">
        <v>8</v>
      </c>
    </row>
    <row r="74" spans="1:6" x14ac:dyDescent="0.3">
      <c r="A74" t="s">
        <v>49</v>
      </c>
      <c r="B74" t="s">
        <v>78</v>
      </c>
      <c r="D74" t="s">
        <v>8</v>
      </c>
    </row>
    <row r="75" spans="1:6" x14ac:dyDescent="0.3">
      <c r="A75" t="s">
        <v>49</v>
      </c>
      <c r="B75" t="s">
        <v>79</v>
      </c>
      <c r="D75" t="s">
        <v>8</v>
      </c>
    </row>
    <row r="76" spans="1:6" x14ac:dyDescent="0.3">
      <c r="A76" t="s">
        <v>49</v>
      </c>
      <c r="B76" t="s">
        <v>83</v>
      </c>
      <c r="D76" t="s">
        <v>8</v>
      </c>
    </row>
    <row r="77" spans="1:6" x14ac:dyDescent="0.3">
      <c r="A77" t="s">
        <v>49</v>
      </c>
      <c r="B77" t="s">
        <v>84</v>
      </c>
      <c r="D77" t="s">
        <v>8</v>
      </c>
      <c r="F77">
        <v>-313972</v>
      </c>
    </row>
    <row r="78" spans="1:6" x14ac:dyDescent="0.3">
      <c r="A78" t="s">
        <v>49</v>
      </c>
      <c r="B78" t="s">
        <v>85</v>
      </c>
      <c r="D78" t="s">
        <v>8</v>
      </c>
    </row>
    <row r="79" spans="1:6" x14ac:dyDescent="0.3">
      <c r="A79" t="s">
        <v>49</v>
      </c>
      <c r="B79" t="s">
        <v>77</v>
      </c>
      <c r="D79" t="s">
        <v>8</v>
      </c>
    </row>
    <row r="80" spans="1:6" x14ac:dyDescent="0.3">
      <c r="A80" t="s">
        <v>49</v>
      </c>
      <c r="B80" t="s">
        <v>78</v>
      </c>
      <c r="D80" t="s">
        <v>8</v>
      </c>
      <c r="F80">
        <v>-54</v>
      </c>
    </row>
    <row r="81" spans="1:6" x14ac:dyDescent="0.3">
      <c r="A81" t="s">
        <v>49</v>
      </c>
      <c r="B81" t="s">
        <v>79</v>
      </c>
      <c r="D81" t="s">
        <v>8</v>
      </c>
      <c r="F81">
        <v>-19446</v>
      </c>
    </row>
    <row r="82" spans="1:6" x14ac:dyDescent="0.3">
      <c r="A82" t="s">
        <v>49</v>
      </c>
      <c r="B82" t="s">
        <v>86</v>
      </c>
      <c r="D82" t="s">
        <v>8</v>
      </c>
      <c r="F82">
        <v>-294472</v>
      </c>
    </row>
    <row r="83" spans="1:6" x14ac:dyDescent="0.3">
      <c r="A83" t="s">
        <v>49</v>
      </c>
      <c r="B83" t="s">
        <v>87</v>
      </c>
      <c r="D83" t="s">
        <v>8</v>
      </c>
    </row>
    <row r="84" spans="1:6" x14ac:dyDescent="0.3">
      <c r="A84" t="s">
        <v>49</v>
      </c>
      <c r="B84" t="s">
        <v>88</v>
      </c>
      <c r="D84" t="s">
        <v>8</v>
      </c>
    </row>
    <row r="85" spans="1:6" x14ac:dyDescent="0.3">
      <c r="A85" t="s">
        <v>49</v>
      </c>
      <c r="B85" t="s">
        <v>89</v>
      </c>
      <c r="D85" t="s">
        <v>8</v>
      </c>
      <c r="F85">
        <v>29</v>
      </c>
    </row>
    <row r="86" spans="1:6" x14ac:dyDescent="0.3">
      <c r="A86" t="s">
        <v>49</v>
      </c>
      <c r="B86" s="1" t="s">
        <v>90</v>
      </c>
      <c r="C86" t="s">
        <v>91</v>
      </c>
      <c r="D86" t="s">
        <v>8</v>
      </c>
      <c r="F86">
        <v>17627</v>
      </c>
    </row>
    <row r="87" spans="1:6" x14ac:dyDescent="0.3">
      <c r="A87" t="s">
        <v>49</v>
      </c>
      <c r="B87" t="s">
        <v>92</v>
      </c>
      <c r="D87" t="s">
        <v>8</v>
      </c>
      <c r="F87">
        <v>-3729</v>
      </c>
    </row>
    <row r="88" spans="1:6" x14ac:dyDescent="0.3">
      <c r="A88" t="s">
        <v>49</v>
      </c>
      <c r="B88" t="s">
        <v>93</v>
      </c>
      <c r="D88" t="s">
        <v>8</v>
      </c>
      <c r="F88">
        <v>13927</v>
      </c>
    </row>
    <row r="89" spans="1:6" x14ac:dyDescent="0.3">
      <c r="A89" t="s">
        <v>49</v>
      </c>
      <c r="B89" t="s">
        <v>94</v>
      </c>
      <c r="D89" t="s">
        <v>8</v>
      </c>
      <c r="F89">
        <v>-280545</v>
      </c>
    </row>
    <row r="90" spans="1:6" x14ac:dyDescent="0.3">
      <c r="A90" t="s">
        <v>49</v>
      </c>
      <c r="B90" t="s">
        <v>95</v>
      </c>
      <c r="C90">
        <v>30</v>
      </c>
      <c r="D90" t="s">
        <v>8</v>
      </c>
    </row>
    <row r="91" spans="1:6" x14ac:dyDescent="0.3">
      <c r="A91" t="s">
        <v>49</v>
      </c>
      <c r="B91" t="e">
        <f>- Basic and Diluted Earni ngs per Equity share - continuing op erations</f>
        <v>#NAME?</v>
      </c>
      <c r="D91" t="s">
        <v>8</v>
      </c>
      <c r="F91">
        <v>-58.53</v>
      </c>
    </row>
    <row r="92" spans="1:6" x14ac:dyDescent="0.3">
      <c r="A92" t="s">
        <v>49</v>
      </c>
      <c r="B92" t="e">
        <f>- Basic and Diluted Earni ngs per Equity share - discontinued operations</f>
        <v>#NAME?</v>
      </c>
      <c r="D92" t="s">
        <v>8</v>
      </c>
    </row>
    <row r="93" spans="1:6" x14ac:dyDescent="0.3">
      <c r="A93" t="s">
        <v>49</v>
      </c>
      <c r="B93" t="e">
        <f>- Basic and Diluted Earni
                                                                                                                                                                                                                                                                operations ngs per Equity share - continuing an d discontin</f>
        <v>#NAME?</v>
      </c>
      <c r="C93" t="s">
        <v>96</v>
      </c>
      <c r="D93" t="s">
        <v>8</v>
      </c>
      <c r="F93">
        <v>-58.53</v>
      </c>
    </row>
    <row r="94" spans="1:6" x14ac:dyDescent="0.3">
      <c r="A94" t="s">
        <v>97</v>
      </c>
      <c r="B94" t="s">
        <v>98</v>
      </c>
      <c r="D94" t="s">
        <v>8</v>
      </c>
    </row>
    <row r="95" spans="1:6" x14ac:dyDescent="0.3">
      <c r="A95" t="s">
        <v>97</v>
      </c>
      <c r="B95" t="s">
        <v>99</v>
      </c>
      <c r="D95" t="s">
        <v>8</v>
      </c>
      <c r="E95">
        <v>-313972</v>
      </c>
      <c r="F95">
        <v>-1776</v>
      </c>
    </row>
    <row r="96" spans="1:6" x14ac:dyDescent="0.3">
      <c r="A96" t="s">
        <v>97</v>
      </c>
      <c r="B96" t="s">
        <v>100</v>
      </c>
      <c r="D96" t="s">
        <v>8</v>
      </c>
      <c r="F96">
        <v>3769</v>
      </c>
    </row>
    <row r="97" spans="1:6" x14ac:dyDescent="0.3">
      <c r="A97" t="s">
        <v>97</v>
      </c>
      <c r="B97" t="s">
        <v>101</v>
      </c>
      <c r="D97" t="s">
        <v>8</v>
      </c>
      <c r="E97">
        <v>-313972</v>
      </c>
      <c r="F97">
        <v>1993</v>
      </c>
    </row>
    <row r="98" spans="1:6" x14ac:dyDescent="0.3">
      <c r="A98" t="s">
        <v>97</v>
      </c>
      <c r="B98" t="s">
        <v>102</v>
      </c>
      <c r="D98" t="s">
        <v>8</v>
      </c>
    </row>
    <row r="99" spans="1:6" x14ac:dyDescent="0.3">
      <c r="A99" t="s">
        <v>97</v>
      </c>
      <c r="B99" t="s">
        <v>103</v>
      </c>
      <c r="D99" t="s">
        <v>8</v>
      </c>
      <c r="F99">
        <v>-202</v>
      </c>
    </row>
    <row r="100" spans="1:6" x14ac:dyDescent="0.3">
      <c r="A100" t="s">
        <v>97</v>
      </c>
      <c r="B100" t="s">
        <v>104</v>
      </c>
      <c r="D100" t="s">
        <v>8</v>
      </c>
      <c r="E100">
        <v>-791</v>
      </c>
      <c r="F100">
        <v>-541</v>
      </c>
    </row>
    <row r="101" spans="1:6" x14ac:dyDescent="0.3">
      <c r="A101" t="s">
        <v>97</v>
      </c>
      <c r="B101" t="s">
        <v>105</v>
      </c>
      <c r="D101" t="s">
        <v>8</v>
      </c>
      <c r="E101">
        <v>-7</v>
      </c>
      <c r="F101">
        <v>-2059</v>
      </c>
    </row>
    <row r="102" spans="1:6" x14ac:dyDescent="0.3">
      <c r="A102" t="s">
        <v>97</v>
      </c>
      <c r="B102" t="s">
        <v>106</v>
      </c>
      <c r="D102" t="s">
        <v>8</v>
      </c>
      <c r="E102">
        <v>1472</v>
      </c>
      <c r="F102">
        <v>8202</v>
      </c>
    </row>
    <row r="103" spans="1:6" x14ac:dyDescent="0.3">
      <c r="A103" t="s">
        <v>97</v>
      </c>
      <c r="B103" t="s">
        <v>107</v>
      </c>
      <c r="D103" t="s">
        <v>8</v>
      </c>
      <c r="E103">
        <v>310455</v>
      </c>
    </row>
    <row r="104" spans="1:6" x14ac:dyDescent="0.3">
      <c r="A104" t="s">
        <v>97</v>
      </c>
      <c r="B104" t="s">
        <v>108</v>
      </c>
      <c r="D104" t="s">
        <v>8</v>
      </c>
      <c r="E104">
        <v>773</v>
      </c>
      <c r="F104">
        <v>2565</v>
      </c>
    </row>
    <row r="105" spans="1:6" x14ac:dyDescent="0.3">
      <c r="A105" t="s">
        <v>97</v>
      </c>
      <c r="B105" t="s">
        <v>109</v>
      </c>
      <c r="D105" t="s">
        <v>8</v>
      </c>
      <c r="E105">
        <v>-2070</v>
      </c>
      <c r="F105">
        <v>9958</v>
      </c>
    </row>
    <row r="106" spans="1:6" x14ac:dyDescent="0.3">
      <c r="A106" t="s">
        <v>97</v>
      </c>
      <c r="B106" t="s">
        <v>110</v>
      </c>
      <c r="D106" t="s">
        <v>8</v>
      </c>
    </row>
    <row r="107" spans="1:6" x14ac:dyDescent="0.3">
      <c r="A107" t="s">
        <v>97</v>
      </c>
      <c r="B107" t="s">
        <v>102</v>
      </c>
      <c r="D107" t="s">
        <v>8</v>
      </c>
    </row>
    <row r="108" spans="1:6" x14ac:dyDescent="0.3">
      <c r="A108" t="s">
        <v>97</v>
      </c>
      <c r="B108" t="s">
        <v>111</v>
      </c>
      <c r="D108" t="s">
        <v>8</v>
      </c>
      <c r="E108">
        <v>-591</v>
      </c>
      <c r="F108">
        <v>-63885</v>
      </c>
    </row>
    <row r="109" spans="1:6" x14ac:dyDescent="0.3">
      <c r="A109" t="s">
        <v>97</v>
      </c>
      <c r="B109" t="s">
        <v>112</v>
      </c>
      <c r="D109" t="s">
        <v>8</v>
      </c>
      <c r="F109">
        <v>-15925</v>
      </c>
    </row>
    <row r="110" spans="1:6" x14ac:dyDescent="0.3">
      <c r="A110" t="s">
        <v>97</v>
      </c>
      <c r="B110" t="s">
        <v>113</v>
      </c>
      <c r="D110" t="s">
        <v>8</v>
      </c>
      <c r="E110">
        <v>16362</v>
      </c>
      <c r="F110">
        <v>3728</v>
      </c>
    </row>
    <row r="111" spans="1:6" x14ac:dyDescent="0.3">
      <c r="A111" t="s">
        <v>97</v>
      </c>
      <c r="B111" t="s">
        <v>114</v>
      </c>
      <c r="D111" t="s">
        <v>8</v>
      </c>
      <c r="E111">
        <v>-1695</v>
      </c>
      <c r="F111">
        <v>-7975</v>
      </c>
    </row>
    <row r="112" spans="1:6" x14ac:dyDescent="0.3">
      <c r="A112" t="s">
        <v>97</v>
      </c>
      <c r="B112" t="s">
        <v>115</v>
      </c>
      <c r="D112" t="s">
        <v>8</v>
      </c>
      <c r="E112">
        <v>12006</v>
      </c>
      <c r="F112">
        <v>-74099</v>
      </c>
    </row>
    <row r="113" spans="1:6" x14ac:dyDescent="0.3">
      <c r="A113" t="s">
        <v>97</v>
      </c>
      <c r="B113" t="s">
        <v>116</v>
      </c>
      <c r="D113" t="s">
        <v>8</v>
      </c>
      <c r="E113">
        <v>7811</v>
      </c>
      <c r="F113">
        <v>-164</v>
      </c>
    </row>
    <row r="114" spans="1:6" x14ac:dyDescent="0.3">
      <c r="A114" t="s">
        <v>97</v>
      </c>
      <c r="B114" t="s">
        <v>117</v>
      </c>
      <c r="D114" t="s">
        <v>8</v>
      </c>
      <c r="E114">
        <v>19817</v>
      </c>
      <c r="F114">
        <v>-74263</v>
      </c>
    </row>
    <row r="115" spans="1:6" x14ac:dyDescent="0.3">
      <c r="A115" t="s">
        <v>97</v>
      </c>
      <c r="B115" t="s">
        <v>118</v>
      </c>
      <c r="D115" t="s">
        <v>8</v>
      </c>
    </row>
    <row r="116" spans="1:6" x14ac:dyDescent="0.3">
      <c r="A116" t="s">
        <v>97</v>
      </c>
      <c r="B116" t="s">
        <v>119</v>
      </c>
      <c r="D116" t="s">
        <v>8</v>
      </c>
      <c r="E116">
        <v>-30</v>
      </c>
      <c r="F116">
        <v>-75</v>
      </c>
    </row>
    <row r="117" spans="1:6" x14ac:dyDescent="0.3">
      <c r="A117" t="s">
        <v>97</v>
      </c>
      <c r="B117" t="s">
        <v>120</v>
      </c>
      <c r="D117" t="s">
        <v>8</v>
      </c>
      <c r="F117">
        <v>202</v>
      </c>
    </row>
    <row r="118" spans="1:6" x14ac:dyDescent="0.3">
      <c r="A118" t="s">
        <v>97</v>
      </c>
      <c r="B118" t="s">
        <v>121</v>
      </c>
      <c r="D118" t="s">
        <v>8</v>
      </c>
      <c r="E118">
        <v>1061</v>
      </c>
      <c r="F118">
        <v>2850</v>
      </c>
    </row>
    <row r="119" spans="1:6" x14ac:dyDescent="0.3">
      <c r="A119" t="s">
        <v>97</v>
      </c>
      <c r="B119" t="s">
        <v>122</v>
      </c>
      <c r="D119" t="s">
        <v>8</v>
      </c>
      <c r="E119">
        <v>182</v>
      </c>
      <c r="F119">
        <v>10</v>
      </c>
    </row>
    <row r="120" spans="1:6" x14ac:dyDescent="0.3">
      <c r="A120" t="s">
        <v>97</v>
      </c>
      <c r="B120" t="s">
        <v>123</v>
      </c>
      <c r="D120" t="s">
        <v>8</v>
      </c>
      <c r="E120">
        <v>1213</v>
      </c>
      <c r="F120">
        <v>2987</v>
      </c>
    </row>
    <row r="121" spans="1:6" x14ac:dyDescent="0.3">
      <c r="A121" t="s">
        <v>97</v>
      </c>
      <c r="B121" t="s">
        <v>124</v>
      </c>
      <c r="D121" t="s">
        <v>8</v>
      </c>
    </row>
    <row r="122" spans="1:6" x14ac:dyDescent="0.3">
      <c r="A122" t="s">
        <v>97</v>
      </c>
      <c r="B122" t="s">
        <v>125</v>
      </c>
      <c r="D122" t="s">
        <v>8</v>
      </c>
      <c r="F122">
        <v>11576</v>
      </c>
    </row>
    <row r="123" spans="1:6" x14ac:dyDescent="0.3">
      <c r="A123" t="s">
        <v>97</v>
      </c>
      <c r="B123" t="s">
        <v>126</v>
      </c>
      <c r="D123" t="s">
        <v>8</v>
      </c>
      <c r="E123">
        <v>-3075</v>
      </c>
      <c r="F123">
        <v>-24912</v>
      </c>
    </row>
    <row r="124" spans="1:6" x14ac:dyDescent="0.3">
      <c r="A124" t="s">
        <v>97</v>
      </c>
      <c r="B124" t="s">
        <v>127</v>
      </c>
      <c r="D124" t="s">
        <v>8</v>
      </c>
      <c r="F124">
        <v>73476</v>
      </c>
    </row>
    <row r="125" spans="1:6" x14ac:dyDescent="0.3">
      <c r="A125" t="s">
        <v>97</v>
      </c>
      <c r="B125" t="s">
        <v>128</v>
      </c>
      <c r="D125" t="s">
        <v>8</v>
      </c>
      <c r="E125">
        <v>33375</v>
      </c>
      <c r="F125">
        <v>87081</v>
      </c>
    </row>
    <row r="126" spans="1:6" x14ac:dyDescent="0.3">
      <c r="A126" t="s">
        <v>97</v>
      </c>
      <c r="B126" t="s">
        <v>129</v>
      </c>
      <c r="D126" t="s">
        <v>8</v>
      </c>
      <c r="E126">
        <v>-13721</v>
      </c>
      <c r="F126">
        <v>-60469</v>
      </c>
    </row>
    <row r="127" spans="1:6" x14ac:dyDescent="0.3">
      <c r="A127" t="s">
        <v>97</v>
      </c>
      <c r="B127" t="s">
        <v>130</v>
      </c>
      <c r="D127" t="s">
        <v>8</v>
      </c>
      <c r="F127">
        <v>35000</v>
      </c>
    </row>
    <row r="128" spans="1:6" x14ac:dyDescent="0.3">
      <c r="A128" t="s">
        <v>97</v>
      </c>
      <c r="B128" t="s">
        <v>131</v>
      </c>
      <c r="D128" t="s">
        <v>8</v>
      </c>
      <c r="E128">
        <v>-36950</v>
      </c>
      <c r="F128">
        <v>-56129</v>
      </c>
    </row>
    <row r="129" spans="1:6" x14ac:dyDescent="0.3">
      <c r="A129" t="s">
        <v>97</v>
      </c>
      <c r="B129" t="s">
        <v>132</v>
      </c>
      <c r="D129" t="s">
        <v>8</v>
      </c>
      <c r="E129">
        <v>-6</v>
      </c>
      <c r="F129">
        <v>-16</v>
      </c>
    </row>
    <row r="130" spans="1:6" x14ac:dyDescent="0.3">
      <c r="A130" t="s">
        <v>97</v>
      </c>
      <c r="B130" t="s">
        <v>133</v>
      </c>
      <c r="D130" t="s">
        <v>8</v>
      </c>
      <c r="E130">
        <v>-20377</v>
      </c>
      <c r="F130">
        <v>65607</v>
      </c>
    </row>
    <row r="131" spans="1:6" x14ac:dyDescent="0.3">
      <c r="A131" t="s">
        <v>97</v>
      </c>
      <c r="B131" t="s">
        <v>134</v>
      </c>
      <c r="D131" t="s">
        <v>8</v>
      </c>
      <c r="E131">
        <v>653</v>
      </c>
      <c r="F131">
        <v>-5669</v>
      </c>
    </row>
    <row r="132" spans="1:6" x14ac:dyDescent="0.3">
      <c r="A132" t="s">
        <v>97</v>
      </c>
      <c r="B132" t="s">
        <v>135</v>
      </c>
      <c r="D132" t="s">
        <v>8</v>
      </c>
      <c r="E132">
        <v>1078</v>
      </c>
      <c r="F132">
        <v>9100</v>
      </c>
    </row>
    <row r="133" spans="1:6" x14ac:dyDescent="0.3">
      <c r="A133" t="s">
        <v>97</v>
      </c>
      <c r="B133" t="s">
        <v>136</v>
      </c>
      <c r="D133" t="s">
        <v>8</v>
      </c>
      <c r="E133">
        <v>0.32</v>
      </c>
      <c r="F133">
        <v>-2353</v>
      </c>
    </row>
    <row r="134" spans="1:6" x14ac:dyDescent="0.3">
      <c r="A134" t="s">
        <v>97</v>
      </c>
      <c r="B134" t="s">
        <v>137</v>
      </c>
      <c r="D134" t="s">
        <v>8</v>
      </c>
      <c r="E134">
        <v>1731</v>
      </c>
      <c r="F134">
        <v>1078</v>
      </c>
    </row>
    <row r="135" spans="1:6" x14ac:dyDescent="0.3">
      <c r="A135" t="s">
        <v>97</v>
      </c>
      <c r="B135" t="s">
        <v>117</v>
      </c>
      <c r="D135" t="s">
        <v>8</v>
      </c>
    </row>
    <row r="136" spans="1:6" x14ac:dyDescent="0.3">
      <c r="A136" t="s">
        <v>97</v>
      </c>
      <c r="B136" t="s">
        <v>138</v>
      </c>
      <c r="D136" t="s">
        <v>8</v>
      </c>
      <c r="E136">
        <v>28</v>
      </c>
      <c r="F136">
        <v>27</v>
      </c>
    </row>
    <row r="137" spans="1:6" x14ac:dyDescent="0.3">
      <c r="A137" t="s">
        <v>97</v>
      </c>
      <c r="B137" t="s">
        <v>139</v>
      </c>
      <c r="D137" t="s">
        <v>8</v>
      </c>
      <c r="E137">
        <v>-4043</v>
      </c>
      <c r="F137">
        <v>-6952</v>
      </c>
    </row>
    <row r="138" spans="1:6" x14ac:dyDescent="0.3">
      <c r="A138" t="s">
        <v>97</v>
      </c>
      <c r="B138" t="s">
        <v>140</v>
      </c>
      <c r="D138" t="s">
        <v>8</v>
      </c>
      <c r="F138">
        <v>91</v>
      </c>
    </row>
    <row r="139" spans="1:6" x14ac:dyDescent="0.3">
      <c r="A139" t="s">
        <v>97</v>
      </c>
      <c r="B139" s="1" t="s">
        <v>141</v>
      </c>
      <c r="D139" t="s">
        <v>8</v>
      </c>
      <c r="E139">
        <v>31</v>
      </c>
      <c r="F139">
        <v>2020</v>
      </c>
    </row>
    <row r="140" spans="1:6" x14ac:dyDescent="0.3">
      <c r="A140" t="s">
        <v>97</v>
      </c>
      <c r="B140" t="s">
        <v>142</v>
      </c>
      <c r="D140" t="s">
        <v>8</v>
      </c>
    </row>
    <row r="141" spans="1:6" x14ac:dyDescent="0.3">
      <c r="A141" t="s">
        <v>97</v>
      </c>
      <c r="B141" t="s">
        <v>143</v>
      </c>
      <c r="D141" t="s">
        <v>8</v>
      </c>
      <c r="F141">
        <v>1</v>
      </c>
    </row>
    <row r="142" spans="1:6" x14ac:dyDescent="0.3">
      <c r="A142" t="s">
        <v>97</v>
      </c>
      <c r="B142" t="s">
        <v>144</v>
      </c>
      <c r="D142" t="s">
        <v>8</v>
      </c>
      <c r="E142">
        <v>1731</v>
      </c>
      <c r="F142">
        <v>1077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FY2021_financials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 sharma</cp:lastModifiedBy>
  <dcterms:created xsi:type="dcterms:W3CDTF">2026-07-23T10:19:51Z</dcterms:created>
  <dcterms:modified xsi:type="dcterms:W3CDTF">2026-07-23T10:20:09Z</dcterms:modified>
</cp:coreProperties>
</file>